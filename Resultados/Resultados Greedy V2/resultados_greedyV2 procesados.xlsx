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p\Documentos\MODELO MVPTP TESIS\Resultados\"/>
    </mc:Choice>
  </mc:AlternateContent>
  <xr:revisionPtr revIDLastSave="0" documentId="13_ncr:9_{5E02195B-A6C2-48FA-BB62-70591B0B14DD}" xr6:coauthVersionLast="47" xr6:coauthVersionMax="47" xr10:uidLastSave="{00000000-0000-0000-0000-000000000000}"/>
  <bookViews>
    <workbookView xWindow="-120" yWindow="-120" windowWidth="38640" windowHeight="21840" xr2:uid="{1E6AFCE3-D753-466E-A6D0-A20E10935DC9}"/>
  </bookViews>
  <sheets>
    <sheet name="resultados_greedyV2" sheetId="1" r:id="rId1"/>
  </sheets>
  <calcPr calcId="0"/>
  <webPublishing allowPng="1" targetScreenSize="1920x1200" dpi="120" codePage="1252"/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4" i="1"/>
  <c r="T5" i="1"/>
  <c r="T6" i="1"/>
  <c r="T7" i="1"/>
  <c r="T8" i="1"/>
  <c r="T9" i="1"/>
  <c r="T4" i="1"/>
  <c r="O5" i="1"/>
  <c r="O6" i="1"/>
  <c r="O7" i="1"/>
  <c r="O8" i="1"/>
  <c r="O9" i="1"/>
  <c r="O4" i="1"/>
  <c r="N5" i="1"/>
  <c r="N6" i="1"/>
  <c r="N7" i="1"/>
  <c r="N8" i="1"/>
  <c r="N9" i="1"/>
  <c r="N4" i="1"/>
  <c r="M5" i="1"/>
  <c r="M6" i="1"/>
  <c r="M7" i="1"/>
  <c r="M8" i="1"/>
  <c r="M9" i="1"/>
  <c r="M4" i="1"/>
</calcChain>
</file>

<file path=xl/sharedStrings.xml><?xml version="1.0" encoding="utf-8"?>
<sst xmlns="http://schemas.openxmlformats.org/spreadsheetml/2006/main" count="47" uniqueCount="47">
  <si>
    <t>instancia</t>
  </si>
  <si>
    <t>nodos</t>
  </si>
  <si>
    <t>distancia</t>
  </si>
  <si>
    <t>nodos_visitados</t>
  </si>
  <si>
    <t>nodos_cubiertos</t>
  </si>
  <si>
    <t>suma_P_cubiertos</t>
  </si>
  <si>
    <t>suma_P_total</t>
  </si>
  <si>
    <t>cobertura</t>
  </si>
  <si>
    <t>tiempo</t>
  </si>
  <si>
    <t>MVPTP_CALI_12_1.dat</t>
  </si>
  <si>
    <t>MVPTP_CALI_12_2.dat</t>
  </si>
  <si>
    <t>|I|</t>
  </si>
  <si>
    <t>MVPTP_CALI_12_3.dat</t>
  </si>
  <si>
    <t>MVPTP_CALI_12_4.dat</t>
  </si>
  <si>
    <t>MVPTP_CALI_12_5.dat</t>
  </si>
  <si>
    <t>MVPTP_CALI_16_1.dat</t>
  </si>
  <si>
    <t>MVPTP_CALI_16_2.dat</t>
  </si>
  <si>
    <t>MVPTP_CALI_16_3.dat</t>
  </si>
  <si>
    <t>MVPTP_CALI_16_4.dat</t>
  </si>
  <si>
    <t>MVPTP_CALI_16_5.dat</t>
  </si>
  <si>
    <t>MVPTP_CALI_20_1.dat</t>
  </si>
  <si>
    <t>MVPTP_CALI_20_2.dat</t>
  </si>
  <si>
    <t>MVPTP_CALI_20_3.dat</t>
  </si>
  <si>
    <t>MVPTP_CALI_20_4.dat</t>
  </si>
  <si>
    <t>MVPTP_CALI_20_5.dat</t>
  </si>
  <si>
    <t>MVPTP_CALI_24_1.dat</t>
  </si>
  <si>
    <t>MVPTP_CALI_24_2.dat</t>
  </si>
  <si>
    <t>MVPTP_CALI_24_3.dat</t>
  </si>
  <si>
    <t>MVPTP_CALI_24_4.dat</t>
  </si>
  <si>
    <t>MVPTP_CALI_24_5.dat</t>
  </si>
  <si>
    <t>MVPTP_CALI_28_1.dat</t>
  </si>
  <si>
    <t>MVPTP_CALI_28_2.dat</t>
  </si>
  <si>
    <t>MVPTP_CALI_28_3.dat</t>
  </si>
  <si>
    <t>MVPTP_CALI_28_4.dat</t>
  </si>
  <si>
    <t>MVPTP_CALI_28_5.dat</t>
  </si>
  <si>
    <t>MVPTP_CALI_8_1.dat</t>
  </si>
  <si>
    <t>MVPTP_CALI_8_2.dat</t>
  </si>
  <si>
    <t>MVPTP_CALI_8_3.dat</t>
  </si>
  <si>
    <t>MVPTP_CALI_8_4.dat</t>
  </si>
  <si>
    <t>MVPTP_CALI_8_5.dat</t>
  </si>
  <si>
    <t>Cob. GPDH</t>
  </si>
  <si>
    <t>Dist. GPDH</t>
  </si>
  <si>
    <t>Tiempo GPDH</t>
  </si>
  <si>
    <t>Cob. Modelo</t>
  </si>
  <si>
    <t>Dist. Modelo</t>
  </si>
  <si>
    <t>Tiempo Modelo</t>
  </si>
  <si>
    <t>∆ relativa Cob. Modelo vs GPDH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</si>
</sst>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166" fontId="0" fillId="0" borderId="0" xfId="0" applyNumberFormat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EC107"/>
      <color rgb="FF103061"/>
      <color rgb="FF1069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resultados_greedyV2!$M$3</c:f>
              <c:strCache>
                <c:ptCount val="1"/>
                <c:pt idx="0">
                  <c:v>Cob. GPDH</c:v>
                </c:pt>
              </c:strCache>
            </c:strRef>
          </c:tx>
          <c:spPr>
            <a:solidFill>
              <a:srgbClr val="FEC10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resultados_greedyV2!$L$4:$L$9</c:f>
              <c:numCache>
                <c:formatCode>General</c:formatCode>
                <c:ptCount val="6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  <c:pt idx="5">
                  <c:v>28</c:v>
                </c:pt>
              </c:numCache>
            </c:numRef>
          </c:cat>
          <c:val>
            <c:numRef>
              <c:f>resultados_greedyV2!$M$4:$M$9</c:f>
              <c:numCache>
                <c:formatCode>0.00%</c:formatCode>
                <c:ptCount val="6"/>
                <c:pt idx="0">
                  <c:v>0.97050876680000009</c:v>
                </c:pt>
                <c:pt idx="1">
                  <c:v>0.85160645580000005</c:v>
                </c:pt>
                <c:pt idx="2">
                  <c:v>0.33574970059999998</c:v>
                </c:pt>
                <c:pt idx="3">
                  <c:v>0.36093720400000001</c:v>
                </c:pt>
                <c:pt idx="4">
                  <c:v>0.2553929962</c:v>
                </c:pt>
                <c:pt idx="5">
                  <c:v>0.27052375220000002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C-401F-A46C-DBF977E11378}"/>
            </c:ext>
          </c:extLst>
        </c:ser>
        <c:ser>
          <c:idx val="1"/>
          <c:order val="1"/>
          <c:tx>
            <c:v>Mejora relativa del Modelo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resultados_greedyV2!$L$4:$L$9</c:f>
              <c:numCache>
                <c:formatCode>General</c:formatCode>
                <c:ptCount val="6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  <c:pt idx="5">
                  <c:v>28</c:v>
                </c:pt>
              </c:numCache>
            </c:numRef>
          </c:cat>
          <c:val>
            <c:numRef>
              <c:f>resultados_greedyV2!$T$4:$T$9</c:f>
              <c:numCache>
                <c:formatCode>0.00%</c:formatCode>
                <c:ptCount val="6"/>
                <c:pt idx="0">
                  <c:v>2.9491233199999911E-2</c:v>
                </c:pt>
                <c:pt idx="1">
                  <c:v>0.12704731883741149</c:v>
                </c:pt>
                <c:pt idx="2">
                  <c:v>0.490360546135025</c:v>
                </c:pt>
                <c:pt idx="3">
                  <c:v>0.39064302760994379</c:v>
                </c:pt>
                <c:pt idx="4">
                  <c:v>0.39725322804713181</c:v>
                </c:pt>
                <c:pt idx="5">
                  <c:v>0.39174606600854667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0C-401F-A46C-DBF977E11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6969952"/>
        <c:axId val="1386970432"/>
      </c:barChart>
      <c:catAx>
        <c:axId val="1386969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sz="1600">
                    <a:solidFill>
                      <a:schemeClr val="tx1"/>
                    </a:solidFill>
                  </a:rPr>
                  <a:t>Tamaño de instancia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386970432"/>
        <c:crosses val="autoZero"/>
        <c:auto val="1"/>
        <c:lblAlgn val="ctr"/>
        <c:lblOffset val="100"/>
        <c:noMultiLvlLbl val="0"/>
      </c:catAx>
      <c:valAx>
        <c:axId val="1386970432"/>
        <c:scaling>
          <c:orientation val="minMax"/>
          <c:max val="1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sz="1600">
                    <a:solidFill>
                      <a:schemeClr val="tx1"/>
                    </a:solidFill>
                  </a:rPr>
                  <a:t>Cobertura ponderadda (Modelo vs GPDH)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crossAx val="138696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776287</xdr:colOff>
      <xdr:row>15</xdr:row>
      <xdr:rowOff>28575</xdr:rowOff>
    </xdr:from>
    <xdr:to>
      <xdr:col>22</xdr:col>
      <xdr:colOff>457200</xdr:colOff>
      <xdr:row>48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A5AF2ED-8319-614C-3850-FF1C51319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F2D1-4F53-4A22-A090-670819F3966D}">
  <dimension ref="A1:T31"/>
  <sheetViews>
    <sheetView tabSelected="1" workbookViewId="0">
      <selection activeCell="Y46" sqref="Y46"/>
    </sheetView>
  </sheetViews>
  <sheetFormatPr baseColWidth="10" defaultRowHeight="15" x14ac:dyDescent="0.25"/>
  <cols>
    <col min="13" max="13" width="12.42578125" customWidth="1"/>
    <col min="15" max="15" width="13" bestFit="1" customWidth="1"/>
    <col min="16" max="17" width="12" bestFit="1" customWidth="1"/>
    <col min="18" max="18" width="14.5703125" bestFit="1" customWidth="1"/>
    <col min="19" max="19" width="27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0" x14ac:dyDescent="0.25">
      <c r="A2" t="s">
        <v>9</v>
      </c>
      <c r="B2">
        <v>12</v>
      </c>
      <c r="C2">
        <v>1020.23</v>
      </c>
      <c r="D2">
        <v>12</v>
      </c>
      <c r="E2">
        <v>10</v>
      </c>
      <c r="F2">
        <v>3.355</v>
      </c>
      <c r="G2">
        <v>3.4969999999999999</v>
      </c>
      <c r="H2">
        <v>0.95939376600000004</v>
      </c>
      <c r="I2">
        <v>1.8734999999999999E-3</v>
      </c>
    </row>
    <row r="3" spans="1:20" x14ac:dyDescent="0.25">
      <c r="A3" t="s">
        <v>10</v>
      </c>
      <c r="B3">
        <v>12</v>
      </c>
      <c r="C3">
        <v>891.1</v>
      </c>
      <c r="D3">
        <v>12</v>
      </c>
      <c r="E3">
        <v>10</v>
      </c>
      <c r="F3">
        <v>3.359</v>
      </c>
      <c r="G3">
        <v>3.5009999999999999</v>
      </c>
      <c r="H3">
        <v>0.95944015999999999</v>
      </c>
      <c r="I3">
        <v>1.6968E-3</v>
      </c>
      <c r="L3" t="s">
        <v>11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s="4" t="s">
        <v>46</v>
      </c>
    </row>
    <row r="4" spans="1:20" x14ac:dyDescent="0.25">
      <c r="A4" t="s">
        <v>12</v>
      </c>
      <c r="B4">
        <v>12</v>
      </c>
      <c r="C4">
        <v>980.79</v>
      </c>
      <c r="D4">
        <v>12</v>
      </c>
      <c r="E4">
        <v>11</v>
      </c>
      <c r="F4">
        <v>5.1929999999999996</v>
      </c>
      <c r="G4">
        <v>5.3780000000000001</v>
      </c>
      <c r="H4">
        <v>0.96560059499999995</v>
      </c>
      <c r="I4">
        <v>2.3719000000000001E-3</v>
      </c>
      <c r="L4">
        <v>8</v>
      </c>
      <c r="M4" s="1">
        <f>AVERAGEIFS($H$2:$H$31,$B$2:$B$31,$L4)</f>
        <v>0.97050876680000009</v>
      </c>
      <c r="N4" s="2">
        <f>AVERAGEIFS($C$2:$C$31,$B$2:$B$31,$L4)</f>
        <v>555.35400000000004</v>
      </c>
      <c r="O4" s="3">
        <f>AVERAGEIFS($I$2:$I$31,$B$2:$B$31,$L4)</f>
        <v>1.19636E-3</v>
      </c>
      <c r="P4" s="1">
        <v>1</v>
      </c>
      <c r="Q4" s="2">
        <v>363.21599999999916</v>
      </c>
      <c r="R4" s="2">
        <v>241.48269138336136</v>
      </c>
      <c r="S4" s="1">
        <f>(P4-M4)/P4</f>
        <v>2.9491233199999911E-2</v>
      </c>
      <c r="T4" s="1">
        <f>P4-M4</f>
        <v>2.9491233199999911E-2</v>
      </c>
    </row>
    <row r="5" spans="1:20" x14ac:dyDescent="0.25">
      <c r="A5" t="s">
        <v>13</v>
      </c>
      <c r="B5">
        <v>12</v>
      </c>
      <c r="C5">
        <v>683.55</v>
      </c>
      <c r="D5">
        <v>12</v>
      </c>
      <c r="E5">
        <v>8</v>
      </c>
      <c r="F5">
        <v>3.649</v>
      </c>
      <c r="G5">
        <v>5.3449999999999998</v>
      </c>
      <c r="H5">
        <v>0.68269410699999999</v>
      </c>
      <c r="I5">
        <v>1.7411E-3</v>
      </c>
      <c r="L5">
        <v>12</v>
      </c>
      <c r="M5" s="1">
        <f t="shared" ref="M5:M9" si="0">AVERAGEIFS($H$2:$H$31,$B$2:$B$31,$L5)</f>
        <v>0.85160645580000005</v>
      </c>
      <c r="N5" s="2">
        <f t="shared" ref="N5:N9" si="1">AVERAGEIFS($C$2:$C$31,$B$2:$B$31,$L5)</f>
        <v>894.47399999999993</v>
      </c>
      <c r="O5" s="3">
        <f t="shared" ref="O5:O9" si="2">AVERAGEIFS($I$2:$I$31,$B$2:$B$31,$L5)</f>
        <v>1.8647199999999998E-3</v>
      </c>
      <c r="P5" s="1">
        <v>0.97865377463741154</v>
      </c>
      <c r="Q5" s="2">
        <v>699.52599999999939</v>
      </c>
      <c r="R5" s="2">
        <v>361.642421293258</v>
      </c>
      <c r="S5" s="1">
        <f t="shared" ref="S5:S9" si="3">(P5-M5)/P5</f>
        <v>0.12981845278682153</v>
      </c>
      <c r="T5" s="1">
        <f t="shared" ref="T5:T9" si="4">P5-M5</f>
        <v>0.12704731883741149</v>
      </c>
    </row>
    <row r="6" spans="1:20" x14ac:dyDescent="0.25">
      <c r="A6" t="s">
        <v>14</v>
      </c>
      <c r="B6">
        <v>12</v>
      </c>
      <c r="C6">
        <v>896.7</v>
      </c>
      <c r="D6">
        <v>12</v>
      </c>
      <c r="E6">
        <v>8</v>
      </c>
      <c r="F6">
        <v>2.3090000000000002</v>
      </c>
      <c r="G6">
        <v>3.3420000000000001</v>
      </c>
      <c r="H6">
        <v>0.69090365099999995</v>
      </c>
      <c r="I6">
        <v>1.6402999999999999E-3</v>
      </c>
      <c r="L6">
        <v>16</v>
      </c>
      <c r="M6" s="1">
        <f t="shared" si="0"/>
        <v>0.33574970059999998</v>
      </c>
      <c r="N6" s="2">
        <f t="shared" si="1"/>
        <v>792.40199999999993</v>
      </c>
      <c r="O6" s="3">
        <f t="shared" si="2"/>
        <v>2.9873199999999999E-3</v>
      </c>
      <c r="P6" s="1">
        <v>0.82611024673502498</v>
      </c>
      <c r="Q6" s="2">
        <v>690.03799999999933</v>
      </c>
      <c r="R6" s="2">
        <v>601.3066371917721</v>
      </c>
      <c r="S6" s="1">
        <f t="shared" si="3"/>
        <v>0.59357761034080025</v>
      </c>
      <c r="T6" s="1">
        <f t="shared" si="4"/>
        <v>0.490360546135025</v>
      </c>
    </row>
    <row r="7" spans="1:20" x14ac:dyDescent="0.25">
      <c r="A7" t="s">
        <v>15</v>
      </c>
      <c r="B7">
        <v>16</v>
      </c>
      <c r="C7">
        <v>821.96</v>
      </c>
      <c r="D7">
        <v>15</v>
      </c>
      <c r="E7">
        <v>2</v>
      </c>
      <c r="F7">
        <v>0.63900000000000001</v>
      </c>
      <c r="G7">
        <v>6.4210000000000003</v>
      </c>
      <c r="H7">
        <v>9.9517208999999995E-2</v>
      </c>
      <c r="I7">
        <v>3.2545E-3</v>
      </c>
      <c r="L7">
        <v>20</v>
      </c>
      <c r="M7" s="1">
        <f t="shared" si="0"/>
        <v>0.36093720400000001</v>
      </c>
      <c r="N7" s="2">
        <f t="shared" si="1"/>
        <v>820.28399999999999</v>
      </c>
      <c r="O7" s="3">
        <f t="shared" si="2"/>
        <v>4.0596800000000004E-3</v>
      </c>
      <c r="P7" s="1">
        <v>0.75158023160994381</v>
      </c>
      <c r="Q7" s="2">
        <v>557.93399999999963</v>
      </c>
      <c r="R7" s="2">
        <v>601.48481578826863</v>
      </c>
      <c r="S7" s="1">
        <f t="shared" si="3"/>
        <v>0.51976224384342284</v>
      </c>
      <c r="T7" s="1">
        <f t="shared" si="4"/>
        <v>0.39064302760994379</v>
      </c>
    </row>
    <row r="8" spans="1:20" x14ac:dyDescent="0.25">
      <c r="A8" t="s">
        <v>16</v>
      </c>
      <c r="B8">
        <v>16</v>
      </c>
      <c r="C8">
        <v>777.77</v>
      </c>
      <c r="D8">
        <v>15</v>
      </c>
      <c r="E8">
        <v>4</v>
      </c>
      <c r="F8">
        <v>1.5680000000000001</v>
      </c>
      <c r="G8">
        <v>6.6130000000000004</v>
      </c>
      <c r="H8">
        <v>0.23710872499999999</v>
      </c>
      <c r="I8">
        <v>3.3671E-3</v>
      </c>
      <c r="L8">
        <v>24</v>
      </c>
      <c r="M8" s="1">
        <f t="shared" si="0"/>
        <v>0.2553929962</v>
      </c>
      <c r="N8" s="2">
        <f t="shared" si="1"/>
        <v>869.17600000000004</v>
      </c>
      <c r="O8" s="3">
        <f t="shared" si="2"/>
        <v>5.3785999999999999E-3</v>
      </c>
      <c r="P8" s="1">
        <v>0.65264622424713181</v>
      </c>
      <c r="Q8" s="2">
        <v>610.1699999999995</v>
      </c>
      <c r="R8" s="2">
        <v>601.59621372222853</v>
      </c>
      <c r="S8" s="1">
        <f t="shared" si="3"/>
        <v>0.60868080330256757</v>
      </c>
      <c r="T8" s="1">
        <f t="shared" si="4"/>
        <v>0.39725322804713181</v>
      </c>
    </row>
    <row r="9" spans="1:20" x14ac:dyDescent="0.25">
      <c r="A9" t="s">
        <v>17</v>
      </c>
      <c r="B9">
        <v>16</v>
      </c>
      <c r="C9">
        <v>872.05</v>
      </c>
      <c r="D9">
        <v>16</v>
      </c>
      <c r="E9">
        <v>5</v>
      </c>
      <c r="F9">
        <v>2.004</v>
      </c>
      <c r="G9">
        <v>5.1929999999999996</v>
      </c>
      <c r="H9">
        <v>0.38590410200000003</v>
      </c>
      <c r="I9">
        <v>2.8473999999999999E-3</v>
      </c>
      <c r="L9">
        <v>28</v>
      </c>
      <c r="M9" s="1">
        <f t="shared" si="0"/>
        <v>0.27052375220000002</v>
      </c>
      <c r="N9" s="2">
        <f t="shared" si="1"/>
        <v>983.73800000000006</v>
      </c>
      <c r="O9" s="3">
        <f t="shared" si="2"/>
        <v>6.1768400000000003E-3</v>
      </c>
      <c r="P9" s="1">
        <v>0.66226981820854669</v>
      </c>
      <c r="Q9" s="2">
        <v>742.63599999999929</v>
      </c>
      <c r="R9" s="2">
        <v>601.75179986953708</v>
      </c>
      <c r="S9" s="1">
        <f t="shared" si="3"/>
        <v>0.59152033693491834</v>
      </c>
      <c r="T9" s="1">
        <f t="shared" si="4"/>
        <v>0.39174606600854667</v>
      </c>
    </row>
    <row r="10" spans="1:20" x14ac:dyDescent="0.25">
      <c r="A10" t="s">
        <v>18</v>
      </c>
      <c r="B10">
        <v>16</v>
      </c>
      <c r="C10">
        <v>691.89</v>
      </c>
      <c r="D10">
        <v>16</v>
      </c>
      <c r="E10">
        <v>8</v>
      </c>
      <c r="F10">
        <v>2.6419999999999999</v>
      </c>
      <c r="G10">
        <v>5.0780000000000003</v>
      </c>
      <c r="H10">
        <v>0.52028357599999997</v>
      </c>
      <c r="I10">
        <v>2.8625999999999999E-3</v>
      </c>
    </row>
    <row r="11" spans="1:20" x14ac:dyDescent="0.25">
      <c r="A11" t="s">
        <v>19</v>
      </c>
      <c r="B11">
        <v>16</v>
      </c>
      <c r="C11">
        <v>798.34</v>
      </c>
      <c r="D11">
        <v>16</v>
      </c>
      <c r="E11">
        <v>8</v>
      </c>
      <c r="F11">
        <v>2.089</v>
      </c>
      <c r="G11">
        <v>4.7919999999999998</v>
      </c>
      <c r="H11">
        <v>0.43593489099999999</v>
      </c>
      <c r="I11">
        <v>2.6050000000000001E-3</v>
      </c>
    </row>
    <row r="12" spans="1:20" x14ac:dyDescent="0.25">
      <c r="A12" t="s">
        <v>20</v>
      </c>
      <c r="B12">
        <v>20</v>
      </c>
      <c r="C12">
        <v>691.93</v>
      </c>
      <c r="D12">
        <v>19</v>
      </c>
      <c r="E12">
        <v>5</v>
      </c>
      <c r="F12">
        <v>2.0419999999999998</v>
      </c>
      <c r="G12">
        <v>7.125</v>
      </c>
      <c r="H12">
        <v>0.28659649100000001</v>
      </c>
      <c r="I12">
        <v>4.0264000000000003E-3</v>
      </c>
    </row>
    <row r="13" spans="1:20" x14ac:dyDescent="0.25">
      <c r="A13" t="s">
        <v>21</v>
      </c>
      <c r="B13">
        <v>20</v>
      </c>
      <c r="C13">
        <v>710.4</v>
      </c>
      <c r="D13">
        <v>19</v>
      </c>
      <c r="E13">
        <v>3</v>
      </c>
      <c r="F13">
        <v>1.4059999999999999</v>
      </c>
      <c r="G13">
        <v>7.3630000000000004</v>
      </c>
      <c r="H13">
        <v>0.19095477399999999</v>
      </c>
      <c r="I13">
        <v>4.248E-3</v>
      </c>
    </row>
    <row r="14" spans="1:20" x14ac:dyDescent="0.25">
      <c r="A14" t="s">
        <v>22</v>
      </c>
      <c r="B14">
        <v>20</v>
      </c>
      <c r="C14">
        <v>856.47</v>
      </c>
      <c r="D14">
        <v>19</v>
      </c>
      <c r="E14">
        <v>6</v>
      </c>
      <c r="F14">
        <v>2.1419999999999999</v>
      </c>
      <c r="G14">
        <v>6.3890000000000002</v>
      </c>
      <c r="H14">
        <v>0.33526373500000001</v>
      </c>
      <c r="I14">
        <v>3.9347000000000002E-3</v>
      </c>
    </row>
    <row r="15" spans="1:20" x14ac:dyDescent="0.25">
      <c r="A15" t="s">
        <v>23</v>
      </c>
      <c r="B15">
        <v>20</v>
      </c>
      <c r="C15">
        <v>969.46</v>
      </c>
      <c r="D15">
        <v>20</v>
      </c>
      <c r="E15">
        <v>9</v>
      </c>
      <c r="F15">
        <v>3.2250000000000001</v>
      </c>
      <c r="G15">
        <v>7.0220000000000002</v>
      </c>
      <c r="H15">
        <v>0.45927086299999997</v>
      </c>
      <c r="I15">
        <v>4.3127E-3</v>
      </c>
    </row>
    <row r="16" spans="1:20" x14ac:dyDescent="0.25">
      <c r="A16" t="s">
        <v>24</v>
      </c>
      <c r="B16">
        <v>20</v>
      </c>
      <c r="C16">
        <v>873.16</v>
      </c>
      <c r="D16">
        <v>20</v>
      </c>
      <c r="E16">
        <v>9</v>
      </c>
      <c r="F16">
        <v>4.0679999999999996</v>
      </c>
      <c r="G16">
        <v>7.6379999999999999</v>
      </c>
      <c r="H16">
        <v>0.53260015699999996</v>
      </c>
      <c r="I16">
        <v>3.7766000000000002E-3</v>
      </c>
    </row>
    <row r="17" spans="1:9" x14ac:dyDescent="0.25">
      <c r="A17" t="s">
        <v>25</v>
      </c>
      <c r="B17">
        <v>24</v>
      </c>
      <c r="C17">
        <v>969.08</v>
      </c>
      <c r="D17">
        <v>23</v>
      </c>
      <c r="E17">
        <v>4</v>
      </c>
      <c r="F17">
        <v>2.169</v>
      </c>
      <c r="G17">
        <v>9.4410000000000007</v>
      </c>
      <c r="H17">
        <v>0.22974261200000001</v>
      </c>
      <c r="I17">
        <v>5.8190999999999998E-3</v>
      </c>
    </row>
    <row r="18" spans="1:9" x14ac:dyDescent="0.25">
      <c r="A18" t="s">
        <v>26</v>
      </c>
      <c r="B18">
        <v>24</v>
      </c>
      <c r="C18">
        <v>934.02</v>
      </c>
      <c r="D18">
        <v>22</v>
      </c>
      <c r="E18">
        <v>4</v>
      </c>
      <c r="F18">
        <v>2.0459999999999998</v>
      </c>
      <c r="G18">
        <v>9.7780000000000005</v>
      </c>
      <c r="H18">
        <v>0.209245244</v>
      </c>
      <c r="I18">
        <v>5.8275999999999996E-3</v>
      </c>
    </row>
    <row r="19" spans="1:9" x14ac:dyDescent="0.25">
      <c r="A19" t="s">
        <v>27</v>
      </c>
      <c r="B19">
        <v>24</v>
      </c>
      <c r="C19">
        <v>801.09</v>
      </c>
      <c r="D19">
        <v>23</v>
      </c>
      <c r="E19">
        <v>6</v>
      </c>
      <c r="F19">
        <v>2.0979999999999999</v>
      </c>
      <c r="G19">
        <v>8.8140000000000001</v>
      </c>
      <c r="H19">
        <v>0.238030406</v>
      </c>
      <c r="I19">
        <v>5.4006000000000002E-3</v>
      </c>
    </row>
    <row r="20" spans="1:9" x14ac:dyDescent="0.25">
      <c r="A20" t="s">
        <v>28</v>
      </c>
      <c r="B20">
        <v>24</v>
      </c>
      <c r="C20">
        <v>938.21</v>
      </c>
      <c r="D20">
        <v>24</v>
      </c>
      <c r="E20">
        <v>6</v>
      </c>
      <c r="F20">
        <v>1.8919999999999999</v>
      </c>
      <c r="G20">
        <v>6.2</v>
      </c>
      <c r="H20">
        <v>0.30516128999999997</v>
      </c>
      <c r="I20">
        <v>5.1047999999999996E-3</v>
      </c>
    </row>
    <row r="21" spans="1:9" x14ac:dyDescent="0.25">
      <c r="A21" t="s">
        <v>29</v>
      </c>
      <c r="B21">
        <v>24</v>
      </c>
      <c r="C21">
        <v>703.48</v>
      </c>
      <c r="D21">
        <v>23</v>
      </c>
      <c r="E21">
        <v>7</v>
      </c>
      <c r="F21">
        <v>2.363</v>
      </c>
      <c r="G21">
        <v>8.016</v>
      </c>
      <c r="H21">
        <v>0.29478542899999999</v>
      </c>
      <c r="I21">
        <v>4.7409000000000001E-3</v>
      </c>
    </row>
    <row r="22" spans="1:9" x14ac:dyDescent="0.25">
      <c r="A22" t="s">
        <v>30</v>
      </c>
      <c r="B22">
        <v>28</v>
      </c>
      <c r="C22">
        <v>765.39</v>
      </c>
      <c r="D22">
        <v>26</v>
      </c>
      <c r="E22">
        <v>4</v>
      </c>
      <c r="F22">
        <v>1.738</v>
      </c>
      <c r="G22">
        <v>12.407999999999999</v>
      </c>
      <c r="H22">
        <v>0.14007092199999999</v>
      </c>
      <c r="I22">
        <v>5.9163000000000002E-3</v>
      </c>
    </row>
    <row r="23" spans="1:9" x14ac:dyDescent="0.25">
      <c r="A23" t="s">
        <v>31</v>
      </c>
      <c r="B23">
        <v>28</v>
      </c>
      <c r="C23">
        <v>803.89</v>
      </c>
      <c r="D23">
        <v>26</v>
      </c>
      <c r="E23">
        <v>2</v>
      </c>
      <c r="F23">
        <v>1.097</v>
      </c>
      <c r="G23">
        <v>12.041</v>
      </c>
      <c r="H23">
        <v>9.1105389999999994E-2</v>
      </c>
      <c r="I23">
        <v>6.0625000000000002E-3</v>
      </c>
    </row>
    <row r="24" spans="1:9" x14ac:dyDescent="0.25">
      <c r="A24" t="s">
        <v>32</v>
      </c>
      <c r="B24">
        <v>28</v>
      </c>
      <c r="C24">
        <v>1059.19</v>
      </c>
      <c r="D24">
        <v>27</v>
      </c>
      <c r="E24">
        <v>11</v>
      </c>
      <c r="F24">
        <v>4.6139999999999999</v>
      </c>
      <c r="G24">
        <v>11.334</v>
      </c>
      <c r="H24">
        <v>0.4070937</v>
      </c>
      <c r="I24">
        <v>5.9817000000000004E-3</v>
      </c>
    </row>
    <row r="25" spans="1:9" x14ac:dyDescent="0.25">
      <c r="A25" t="s">
        <v>33</v>
      </c>
      <c r="B25">
        <v>28</v>
      </c>
      <c r="C25">
        <v>1239.82</v>
      </c>
      <c r="D25">
        <v>28</v>
      </c>
      <c r="E25">
        <v>10</v>
      </c>
      <c r="F25">
        <v>3.0390000000000001</v>
      </c>
      <c r="G25">
        <v>7.6349999999999998</v>
      </c>
      <c r="H25">
        <v>0.39803536299999998</v>
      </c>
      <c r="I25">
        <v>6.6438000000000001E-3</v>
      </c>
    </row>
    <row r="26" spans="1:9" x14ac:dyDescent="0.25">
      <c r="A26" t="s">
        <v>34</v>
      </c>
      <c r="B26">
        <v>28</v>
      </c>
      <c r="C26">
        <v>1050.4000000000001</v>
      </c>
      <c r="D26">
        <v>26</v>
      </c>
      <c r="E26">
        <v>8</v>
      </c>
      <c r="F26">
        <v>2.7010000000000001</v>
      </c>
      <c r="G26">
        <v>8.5389999999999997</v>
      </c>
      <c r="H26">
        <v>0.31631338599999997</v>
      </c>
      <c r="I26">
        <v>6.2798999999999997E-3</v>
      </c>
    </row>
    <row r="27" spans="1:9" x14ac:dyDescent="0.25">
      <c r="A27" t="s">
        <v>35</v>
      </c>
      <c r="B27">
        <v>8</v>
      </c>
      <c r="C27">
        <v>507.08</v>
      </c>
      <c r="D27">
        <v>8</v>
      </c>
      <c r="E27">
        <v>8</v>
      </c>
      <c r="F27">
        <v>2.83</v>
      </c>
      <c r="G27">
        <v>2.83</v>
      </c>
      <c r="H27">
        <v>1</v>
      </c>
      <c r="I27">
        <v>1.0269000000000001E-3</v>
      </c>
    </row>
    <row r="28" spans="1:9" x14ac:dyDescent="0.25">
      <c r="A28" t="s">
        <v>36</v>
      </c>
      <c r="B28">
        <v>8</v>
      </c>
      <c r="C28">
        <v>441.18</v>
      </c>
      <c r="D28">
        <v>8</v>
      </c>
      <c r="E28">
        <v>8</v>
      </c>
      <c r="F28">
        <v>2.851</v>
      </c>
      <c r="G28">
        <v>2.851</v>
      </c>
      <c r="H28">
        <v>1</v>
      </c>
      <c r="I28">
        <v>1.0111E-3</v>
      </c>
    </row>
    <row r="29" spans="1:9" x14ac:dyDescent="0.25">
      <c r="A29" t="s">
        <v>37</v>
      </c>
      <c r="B29">
        <v>8</v>
      </c>
      <c r="C29">
        <v>478.05</v>
      </c>
      <c r="D29">
        <v>8</v>
      </c>
      <c r="E29">
        <v>6</v>
      </c>
      <c r="F29">
        <v>2.9660000000000002</v>
      </c>
      <c r="G29">
        <v>3.4790000000000001</v>
      </c>
      <c r="H29">
        <v>0.852543834</v>
      </c>
      <c r="I29">
        <v>1.3743E-3</v>
      </c>
    </row>
    <row r="30" spans="1:9" x14ac:dyDescent="0.25">
      <c r="A30" t="s">
        <v>38</v>
      </c>
      <c r="B30">
        <v>8</v>
      </c>
      <c r="C30">
        <v>696.69</v>
      </c>
      <c r="D30">
        <v>8</v>
      </c>
      <c r="E30">
        <v>8</v>
      </c>
      <c r="F30">
        <v>3.1419999999999999</v>
      </c>
      <c r="G30">
        <v>3.1419999999999999</v>
      </c>
      <c r="H30">
        <v>1</v>
      </c>
      <c r="I30">
        <v>1.4197999999999999E-3</v>
      </c>
    </row>
    <row r="31" spans="1:9" x14ac:dyDescent="0.25">
      <c r="A31" t="s">
        <v>39</v>
      </c>
      <c r="B31">
        <v>8</v>
      </c>
      <c r="C31">
        <v>653.77</v>
      </c>
      <c r="D31">
        <v>8</v>
      </c>
      <c r="E31">
        <v>8</v>
      </c>
      <c r="F31">
        <v>2.7490000000000001</v>
      </c>
      <c r="G31">
        <v>2.7490000000000001</v>
      </c>
      <c r="H31">
        <v>1</v>
      </c>
      <c r="I31">
        <v>1.1497E-3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resultados_greedyV2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Juan Pablo Guerrero</dc:creator>
  <cp:keywords>Keywords</cp:keywords>
  <cp:lastModifiedBy>Juan Pablo Guerrero</cp:lastModifiedBy>
  <cp:lastPrinted>2026-05-15T19:55:15Z</cp:lastPrinted>
  <dcterms:created xsi:type="dcterms:W3CDTF">2026-05-15T19:43:54Z</dcterms:created>
  <dcterms:modified xsi:type="dcterms:W3CDTF">2026-05-15T20:46:02Z</dcterms:modified>
</cp:coreProperties>
</file>