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Documentos\MODELO MVPTP TESIS\Resultados_SIN_Pi\"/>
    </mc:Choice>
  </mc:AlternateContent>
  <xr:revisionPtr revIDLastSave="0" documentId="13_ncr:1_{3F1EDFE8-60D3-4709-8534-AAFD85290513}" xr6:coauthVersionLast="47" xr6:coauthVersionMax="47" xr10:uidLastSave="{00000000-0000-0000-0000-000000000000}"/>
  <bookViews>
    <workbookView xWindow="-120" yWindow="-120" windowWidth="38640" windowHeight="21840" xr2:uid="{08F7D1FA-9D0D-4DFF-9554-0400FF2148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1" l="1"/>
  <c r="T40" i="1"/>
  <c r="T39" i="1"/>
  <c r="T38" i="1"/>
  <c r="G61" i="1"/>
  <c r="G56" i="1"/>
  <c r="G51" i="1"/>
  <c r="G46" i="1"/>
  <c r="S37" i="1"/>
  <c r="S36" i="1"/>
  <c r="S38" i="1"/>
  <c r="S39" i="1"/>
  <c r="S40" i="1"/>
  <c r="S41" i="1"/>
  <c r="V37" i="1"/>
  <c r="V38" i="1"/>
  <c r="V39" i="1"/>
  <c r="V40" i="1"/>
  <c r="V41" i="1"/>
  <c r="V36" i="1"/>
</calcChain>
</file>

<file path=xl/sharedStrings.xml><?xml version="1.0" encoding="utf-8"?>
<sst xmlns="http://schemas.openxmlformats.org/spreadsheetml/2006/main" count="124" uniqueCount="66">
  <si>
    <t>COBERTURA F1</t>
  </si>
  <si>
    <t>DISTANCIA F1 [km]</t>
  </si>
  <si>
    <t>F1: Y_i</t>
  </si>
  <si>
    <t>VEHICULOS F1</t>
  </si>
  <si>
    <t>F1 solve_result_num</t>
  </si>
  <si>
    <t>GAP F1</t>
  </si>
  <si>
    <t>COBERTURA F2</t>
  </si>
  <si>
    <t>DISTANCIA F2 [km]</t>
  </si>
  <si>
    <t>F2: Y_i</t>
  </si>
  <si>
    <t>VEHICULOS F2</t>
  </si>
  <si>
    <t>F2 solve_result_num</t>
  </si>
  <si>
    <t>GAP F2</t>
  </si>
  <si>
    <t>TIEMPO F1+F2 [s]</t>
  </si>
  <si>
    <t>F1, F10, F11, F12, F2, F3, F4, F5, F6, F7, F8, F9</t>
  </si>
  <si>
    <t>F1, F10, F12, F13, F14, F15, F16, F2, F3, F5, F6, F9</t>
  </si>
  <si>
    <t>F1, F10, F11, F12, F13, F14, F16, F3, F4, F5, F6, F9</t>
  </si>
  <si>
    <t>F1, F10, F11, F12, F13, F15, F16, F3, F4, F6, F7, F8, F9</t>
  </si>
  <si>
    <t>F1, F11, F12, F13, F14, F15, F16, F2, F3, F5, F6, F8</t>
  </si>
  <si>
    <t>F1, F10, F12, F13, F15, F16, F2, F3, F4, F5, F6, F7, F8, F9</t>
  </si>
  <si>
    <t>F11, F13, F14, F15, F16, F17, F18, F20, F3, F4, F5, F8, F9</t>
  </si>
  <si>
    <t>F13, F14, F15, F16, F17, F18, F20, F3, F4, F5, F6, F8, F9</t>
  </si>
  <si>
    <t>F1, F10, F11, F12, F13, F15, F16, F17, F18, F2, F20, F3, F4, F6, F7, F8, F9</t>
  </si>
  <si>
    <t>F1, F10, F11, F13, F14, F15, F16, F17, F19, F2, F20, F4, F5, F6, F9</t>
  </si>
  <si>
    <t>F11, F13, F14, F15, F16, F17, F18, F19, F20, F3, F4, F5, F6, F7, F8, F9</t>
  </si>
  <si>
    <t>F1, F11, F14, F16, F17, F19, F2, F20, F21, F22, F23, F24, F3, F4, F6, F7, F9</t>
  </si>
  <si>
    <t>F1, F11, F14, F15, F16, F17, F19, F2, F20, F21, F22, F24, F3, F4, F6, F7</t>
  </si>
  <si>
    <t>F1, F10, F11, F12, F17, F18, F19, F2, F20, F23, F3, F4, F5, F7, F8</t>
  </si>
  <si>
    <t>F11, F13, F15, F17, F18, F19, F2, F20, F21, F22, F23, F3, F4, F5, F9</t>
  </si>
  <si>
    <t>F1, F11, F13, F15, F17, F18, F19, F2, F20, F21, F24, F3, F4, F5, F7, F8</t>
  </si>
  <si>
    <t>F1, F10, F11, F12, F14, F15, F19, F21, F22, F23, F24, F26, F27, F28, F4, F5, F6, F8</t>
  </si>
  <si>
    <t>F1, F10, F11, F12, F14, F15, F19, F20, F21, F22, F23, F24, F26, F27, F28, F4, F5, F6, F8</t>
  </si>
  <si>
    <t>F10, F12, F14, F15, F16, F18, F19, F22, F23, F24, F25, F27, F28, F4, F5, F7, F8, F9</t>
  </si>
  <si>
    <t>F1, F10, F12, F13, F16, F17, F18, F19, F20, F22, F23, F24, F26, F28, F3, F4, F6, F7, F8, F9</t>
  </si>
  <si>
    <t>F1, F10, F12, F14, F16, F17, F18, F19, F2, F20, F24, F27, F28, F3, F6, F7, F8</t>
  </si>
  <si>
    <t>F1, F2, F3, F4, F5, F6, F7, F8</t>
  </si>
  <si>
    <t>I</t>
  </si>
  <si>
    <t>#</t>
  </si>
  <si>
    <t>|I|</t>
  </si>
  <si>
    <t>Cob modelo</t>
  </si>
  <si>
    <t>Cob sin prioridad</t>
  </si>
  <si>
    <t>Dist F2 sin prioridad</t>
  </si>
  <si>
    <t>Dist F2 modelo</t>
  </si>
  <si>
    <t>Cob evaluada</t>
  </si>
  <si>
    <t>MVPTP_CALI_16_1</t>
  </si>
  <si>
    <t>MVPTP_CALI_16_2</t>
  </si>
  <si>
    <t>MVPTP_CALI_16_3</t>
  </si>
  <si>
    <t>MVPTP_CALI_16_4</t>
  </si>
  <si>
    <t>MVPTP_CALI_16_5</t>
  </si>
  <si>
    <t>Instancia</t>
  </si>
  <si>
    <t>Nodos atendidos</t>
  </si>
  <si>
    <t>COB ponderada</t>
  </si>
  <si>
    <t>MVPTP_CALI_20_1</t>
  </si>
  <si>
    <t>MVPTP_CALI_20_2</t>
  </si>
  <si>
    <t>MVPTP_CALI_20_3</t>
  </si>
  <si>
    <t>MVPTP_CALI_20_4</t>
  </si>
  <si>
    <t>MVPTP_CALI_20_5</t>
  </si>
  <si>
    <t>MVPTP_CALI_24_5</t>
  </si>
  <si>
    <t>MVPTP_CALI_24_1</t>
  </si>
  <si>
    <t>MVPTP_CALI_24_2</t>
  </si>
  <si>
    <t>MVPTP_CALI_24_3</t>
  </si>
  <si>
    <t>MVPTP_CALI_24_4</t>
  </si>
  <si>
    <t>MVPTP_CALI_28_1</t>
  </si>
  <si>
    <t>MVPTP_CALI_28_2</t>
  </si>
  <si>
    <t>MVPTP_CALI_28_3</t>
  </si>
  <si>
    <t>MVPTP_CALI_28_4</t>
  </si>
  <si>
    <t>MVPTP_CALI_28_5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</si>
</sst>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2" fontId="0" fillId="0" borderId="0" xfId="0" applyNumberFormat="1"/>
    <xf numFmtId="10" fontId="0" fillId="0" borderId="0" xfId="1" applyNumberFormat="1" applyFont="1"/>
    <xf numFmtId="2" fontId="0" fillId="0" borderId="0" xfId="1" applyNumberFormat="1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8FDC4-E5E3-453D-9779-26A1728715AE}">
  <dimension ref="A1:V419"/>
  <sheetViews>
    <sheetView tabSelected="1" topLeftCell="G17" zoomScaleNormal="100" workbookViewId="0">
      <selection activeCell="P48" sqref="P48"/>
    </sheetView>
  </sheetViews>
  <sheetFormatPr baseColWidth="10" defaultRowHeight="15" x14ac:dyDescent="0.25"/>
  <cols>
    <col min="1" max="1" width="4.7109375" customWidth="1"/>
    <col min="2" max="2" width="6.42578125" customWidth="1"/>
    <col min="3" max="3" width="15.140625" bestFit="1" customWidth="1"/>
    <col min="4" max="4" width="17" bestFit="1" customWidth="1"/>
    <col min="5" max="5" width="40.5703125" customWidth="1"/>
    <col min="6" max="6" width="13.85546875" bestFit="1" customWidth="1"/>
    <col min="7" max="7" width="18" bestFit="1" customWidth="1"/>
    <col min="9" max="9" width="15.140625" bestFit="1" customWidth="1"/>
    <col min="10" max="10" width="17" bestFit="1" customWidth="1"/>
    <col min="11" max="11" width="40.5703125" customWidth="1"/>
    <col min="12" max="12" width="13.85546875" bestFit="1" customWidth="1"/>
    <col min="13" max="13" width="18" bestFit="1" customWidth="1"/>
    <col min="14" max="14" width="8.85546875" bestFit="1" customWidth="1"/>
    <col min="15" max="15" width="16.28515625" bestFit="1" customWidth="1"/>
    <col min="18" max="18" width="11.5703125" bestFit="1" customWidth="1"/>
    <col min="19" max="19" width="16.42578125" bestFit="1" customWidth="1"/>
    <col min="20" max="20" width="21" bestFit="1" customWidth="1"/>
    <col min="21" max="21" width="14" bestFit="1" customWidth="1"/>
    <col min="22" max="22" width="18.85546875" bestFit="1" customWidth="1"/>
  </cols>
  <sheetData>
    <row r="1" spans="1:15" x14ac:dyDescent="0.25">
      <c r="A1" t="s">
        <v>36</v>
      </c>
      <c r="B1" t="s">
        <v>35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1</v>
      </c>
      <c r="B2">
        <v>8</v>
      </c>
      <c r="C2" s="2">
        <v>1</v>
      </c>
      <c r="D2" s="3">
        <v>485.31</v>
      </c>
      <c r="E2" s="1" t="s">
        <v>34</v>
      </c>
      <c r="F2">
        <v>19</v>
      </c>
      <c r="G2">
        <v>0</v>
      </c>
      <c r="H2" s="2">
        <v>0</v>
      </c>
      <c r="I2" s="2">
        <v>1</v>
      </c>
      <c r="J2" s="3">
        <v>251.259999999999</v>
      </c>
      <c r="K2" s="1" t="s">
        <v>34</v>
      </c>
      <c r="L2">
        <v>14</v>
      </c>
      <c r="M2">
        <v>402</v>
      </c>
      <c r="N2" s="2">
        <v>6.7021999999999998E-2</v>
      </c>
      <c r="O2" s="3">
        <v>300.66504573821999</v>
      </c>
    </row>
    <row r="3" spans="1:15" x14ac:dyDescent="0.25">
      <c r="A3">
        <v>2</v>
      </c>
      <c r="B3">
        <v>8</v>
      </c>
      <c r="C3" s="2">
        <v>1</v>
      </c>
      <c r="D3" s="3">
        <v>503.92999999999898</v>
      </c>
      <c r="E3" s="1" t="s">
        <v>34</v>
      </c>
      <c r="F3">
        <v>20</v>
      </c>
      <c r="G3">
        <v>0</v>
      </c>
      <c r="H3" s="2">
        <v>0</v>
      </c>
      <c r="I3" s="2">
        <v>1</v>
      </c>
      <c r="J3" s="3">
        <v>241.44999999999899</v>
      </c>
      <c r="K3" s="1" t="s">
        <v>34</v>
      </c>
      <c r="L3">
        <v>14</v>
      </c>
      <c r="M3">
        <v>402</v>
      </c>
      <c r="N3" s="2">
        <v>0.12942600000000001</v>
      </c>
      <c r="O3" s="3">
        <v>300.686499357223</v>
      </c>
    </row>
    <row r="4" spans="1:15" x14ac:dyDescent="0.25">
      <c r="A4">
        <v>3</v>
      </c>
      <c r="B4">
        <v>8</v>
      </c>
      <c r="C4" s="2">
        <v>1</v>
      </c>
      <c r="D4" s="3">
        <v>736.60999999999899</v>
      </c>
      <c r="E4" s="1" t="s">
        <v>34</v>
      </c>
      <c r="F4">
        <v>22</v>
      </c>
      <c r="G4">
        <v>0</v>
      </c>
      <c r="H4" s="2">
        <v>0</v>
      </c>
      <c r="I4" s="2">
        <v>1</v>
      </c>
      <c r="J4" s="3">
        <v>488.159999999999</v>
      </c>
      <c r="K4" s="1" t="s">
        <v>34</v>
      </c>
      <c r="L4">
        <v>19</v>
      </c>
      <c r="M4">
        <v>402</v>
      </c>
      <c r="N4" s="2">
        <v>1.7679E-2</v>
      </c>
      <c r="O4" s="3">
        <v>301.23162817955</v>
      </c>
    </row>
    <row r="5" spans="1:15" x14ac:dyDescent="0.25">
      <c r="A5">
        <v>4</v>
      </c>
      <c r="B5">
        <v>8</v>
      </c>
      <c r="C5" s="2">
        <v>1</v>
      </c>
      <c r="D5" s="3">
        <v>942.65</v>
      </c>
      <c r="E5" s="1" t="s">
        <v>34</v>
      </c>
      <c r="F5">
        <v>22</v>
      </c>
      <c r="G5">
        <v>0</v>
      </c>
      <c r="H5" s="2">
        <v>0</v>
      </c>
      <c r="I5" s="2">
        <v>1</v>
      </c>
      <c r="J5" s="3">
        <v>508.109999999997</v>
      </c>
      <c r="K5" s="1" t="s">
        <v>34</v>
      </c>
      <c r="L5">
        <v>22</v>
      </c>
      <c r="M5">
        <v>0</v>
      </c>
      <c r="N5" s="2">
        <v>0</v>
      </c>
      <c r="O5" s="3">
        <v>4.3618288040161097</v>
      </c>
    </row>
    <row r="6" spans="1:15" x14ac:dyDescent="0.25">
      <c r="A6">
        <v>5</v>
      </c>
      <c r="B6">
        <v>8</v>
      </c>
      <c r="C6" s="2">
        <v>1</v>
      </c>
      <c r="D6" s="3">
        <v>679.67</v>
      </c>
      <c r="E6" s="1" t="s">
        <v>34</v>
      </c>
      <c r="F6">
        <v>21</v>
      </c>
      <c r="G6">
        <v>0</v>
      </c>
      <c r="H6" s="2">
        <v>0</v>
      </c>
      <c r="I6" s="2">
        <v>1</v>
      </c>
      <c r="J6" s="3">
        <v>328.36999999999898</v>
      </c>
      <c r="K6" s="1" t="s">
        <v>34</v>
      </c>
      <c r="L6">
        <v>14</v>
      </c>
      <c r="M6">
        <v>402</v>
      </c>
      <c r="N6" s="2">
        <v>6.2429999999999999E-2</v>
      </c>
      <c r="O6" s="3">
        <v>300.56724596023503</v>
      </c>
    </row>
    <row r="7" spans="1:15" x14ac:dyDescent="0.25">
      <c r="A7">
        <v>6</v>
      </c>
      <c r="B7">
        <v>12</v>
      </c>
      <c r="C7" s="2">
        <v>1</v>
      </c>
      <c r="D7" s="3">
        <v>1439.99</v>
      </c>
      <c r="E7" s="1" t="s">
        <v>13</v>
      </c>
      <c r="F7">
        <v>22</v>
      </c>
      <c r="G7">
        <v>0</v>
      </c>
      <c r="H7" s="2">
        <v>0</v>
      </c>
      <c r="I7" s="2">
        <v>1</v>
      </c>
      <c r="J7" s="3">
        <v>770.92</v>
      </c>
      <c r="K7" s="1" t="s">
        <v>13</v>
      </c>
      <c r="L7">
        <v>22</v>
      </c>
      <c r="M7">
        <v>402</v>
      </c>
      <c r="N7" s="2">
        <v>5.1340999999999998E-2</v>
      </c>
      <c r="O7" s="3">
        <v>301.66119623184198</v>
      </c>
    </row>
    <row r="8" spans="1:15" x14ac:dyDescent="0.25">
      <c r="A8">
        <v>7</v>
      </c>
      <c r="B8">
        <v>12</v>
      </c>
      <c r="C8" s="2">
        <v>1</v>
      </c>
      <c r="D8" s="3">
        <v>1366.34</v>
      </c>
      <c r="E8" s="1" t="s">
        <v>13</v>
      </c>
      <c r="F8">
        <v>22</v>
      </c>
      <c r="G8">
        <v>0</v>
      </c>
      <c r="H8" s="2">
        <v>0</v>
      </c>
      <c r="I8" s="2">
        <v>1</v>
      </c>
      <c r="J8" s="3">
        <v>827.07999999999902</v>
      </c>
      <c r="K8" s="1" t="s">
        <v>13</v>
      </c>
      <c r="L8">
        <v>22</v>
      </c>
      <c r="M8">
        <v>402</v>
      </c>
      <c r="N8" s="2">
        <v>5.3609999999999998E-2</v>
      </c>
      <c r="O8" s="3">
        <v>301.862577199935</v>
      </c>
    </row>
    <row r="9" spans="1:15" x14ac:dyDescent="0.25">
      <c r="A9">
        <v>8</v>
      </c>
      <c r="B9">
        <v>12</v>
      </c>
      <c r="C9" s="2">
        <v>1</v>
      </c>
      <c r="D9" s="3">
        <v>1310.6500000000001</v>
      </c>
      <c r="E9" s="1" t="s">
        <v>13</v>
      </c>
      <c r="F9">
        <v>22</v>
      </c>
      <c r="G9">
        <v>0</v>
      </c>
      <c r="H9" s="2">
        <v>0</v>
      </c>
      <c r="I9" s="2">
        <v>1</v>
      </c>
      <c r="J9" s="3">
        <v>798.60999999999899</v>
      </c>
      <c r="K9" s="1" t="s">
        <v>13</v>
      </c>
      <c r="L9">
        <v>22</v>
      </c>
      <c r="M9">
        <v>402</v>
      </c>
      <c r="N9" s="2">
        <v>0.17404</v>
      </c>
      <c r="O9" s="3">
        <v>388.29058098793001</v>
      </c>
    </row>
    <row r="10" spans="1:15" x14ac:dyDescent="0.25">
      <c r="A10">
        <v>9</v>
      </c>
      <c r="B10">
        <v>12</v>
      </c>
      <c r="C10" s="2">
        <v>1</v>
      </c>
      <c r="D10" s="3">
        <v>891.01</v>
      </c>
      <c r="E10" s="1" t="s">
        <v>13</v>
      </c>
      <c r="F10">
        <v>22</v>
      </c>
      <c r="G10">
        <v>0</v>
      </c>
      <c r="H10" s="2">
        <v>0</v>
      </c>
      <c r="I10" s="2">
        <v>1</v>
      </c>
      <c r="J10" s="3">
        <v>529.719999999999</v>
      </c>
      <c r="K10" s="1" t="s">
        <v>13</v>
      </c>
      <c r="L10">
        <v>21</v>
      </c>
      <c r="M10">
        <v>402</v>
      </c>
      <c r="N10" s="2">
        <v>9.5899999999999999E-2</v>
      </c>
      <c r="O10" s="3">
        <v>301.41394376754698</v>
      </c>
    </row>
    <row r="11" spans="1:15" x14ac:dyDescent="0.25">
      <c r="A11">
        <v>10</v>
      </c>
      <c r="B11">
        <v>12</v>
      </c>
      <c r="C11" s="2">
        <v>1</v>
      </c>
      <c r="D11" s="3">
        <v>1263.06</v>
      </c>
      <c r="E11" s="1" t="s">
        <v>13</v>
      </c>
      <c r="F11">
        <v>22</v>
      </c>
      <c r="G11">
        <v>0</v>
      </c>
      <c r="H11" s="2">
        <v>0</v>
      </c>
      <c r="I11" s="2">
        <v>1</v>
      </c>
      <c r="J11" s="3">
        <v>717.31999999999903</v>
      </c>
      <c r="K11" s="1" t="s">
        <v>13</v>
      </c>
      <c r="L11">
        <v>21</v>
      </c>
      <c r="M11">
        <v>402</v>
      </c>
      <c r="N11" s="2">
        <v>0.14119199999999901</v>
      </c>
      <c r="O11" s="3">
        <v>302.83027911186201</v>
      </c>
    </row>
    <row r="12" spans="1:15" ht="30" x14ac:dyDescent="0.25">
      <c r="A12">
        <v>11</v>
      </c>
      <c r="B12">
        <v>16</v>
      </c>
      <c r="C12" s="2">
        <v>0.75</v>
      </c>
      <c r="D12" s="3">
        <v>1280.5899999999999</v>
      </c>
      <c r="E12" s="1" t="s">
        <v>14</v>
      </c>
      <c r="F12">
        <v>22</v>
      </c>
      <c r="G12">
        <v>402</v>
      </c>
      <c r="H12" s="2">
        <v>0.33333299999999999</v>
      </c>
      <c r="I12" s="2">
        <v>0.75</v>
      </c>
      <c r="J12" s="3">
        <v>865.349999999999</v>
      </c>
      <c r="K12" s="1" t="s">
        <v>14</v>
      </c>
      <c r="L12">
        <v>21</v>
      </c>
      <c r="M12">
        <v>402</v>
      </c>
      <c r="N12" s="2">
        <v>0.393563</v>
      </c>
      <c r="O12" s="3">
        <v>601.30292057991005</v>
      </c>
    </row>
    <row r="13" spans="1:15" ht="30" x14ac:dyDescent="0.25">
      <c r="A13">
        <v>12</v>
      </c>
      <c r="B13">
        <v>16</v>
      </c>
      <c r="C13" s="2">
        <v>0.75</v>
      </c>
      <c r="D13" s="3">
        <v>1363.85</v>
      </c>
      <c r="E13" s="1" t="s">
        <v>15</v>
      </c>
      <c r="F13">
        <v>22</v>
      </c>
      <c r="G13">
        <v>402</v>
      </c>
      <c r="H13" s="2">
        <v>0.33333299999999999</v>
      </c>
      <c r="I13" s="2">
        <v>0.75</v>
      </c>
      <c r="J13" s="3">
        <v>864.12999999999897</v>
      </c>
      <c r="K13" s="1" t="s">
        <v>15</v>
      </c>
      <c r="L13">
        <v>22</v>
      </c>
      <c r="M13">
        <v>402</v>
      </c>
      <c r="N13" s="2">
        <v>0.47098200000000001</v>
      </c>
      <c r="O13" s="3">
        <v>601.542475938797</v>
      </c>
    </row>
    <row r="14" spans="1:15" ht="30" x14ac:dyDescent="0.25">
      <c r="A14">
        <v>13</v>
      </c>
      <c r="B14">
        <v>16</v>
      </c>
      <c r="C14" s="2">
        <v>0.8125</v>
      </c>
      <c r="D14" s="3">
        <v>1171.5</v>
      </c>
      <c r="E14" s="1" t="s">
        <v>16</v>
      </c>
      <c r="F14">
        <v>22</v>
      </c>
      <c r="G14">
        <v>402</v>
      </c>
      <c r="H14" s="2">
        <v>0.230768999999999</v>
      </c>
      <c r="I14" s="2">
        <v>0.8125</v>
      </c>
      <c r="J14" s="3">
        <v>659.76999999999896</v>
      </c>
      <c r="K14" s="1" t="s">
        <v>16</v>
      </c>
      <c r="L14">
        <v>19</v>
      </c>
      <c r="M14">
        <v>402</v>
      </c>
      <c r="N14" s="2">
        <v>0.47854599999999903</v>
      </c>
      <c r="O14" s="3">
        <v>601.83192706108002</v>
      </c>
    </row>
    <row r="15" spans="1:15" ht="30" x14ac:dyDescent="0.25">
      <c r="A15">
        <v>14</v>
      </c>
      <c r="B15">
        <v>16</v>
      </c>
      <c r="C15" s="2">
        <v>0.75</v>
      </c>
      <c r="D15" s="3">
        <v>966.47</v>
      </c>
      <c r="E15" s="1" t="s">
        <v>17</v>
      </c>
      <c r="F15">
        <v>22</v>
      </c>
      <c r="G15">
        <v>402</v>
      </c>
      <c r="H15" s="2">
        <v>0.33333299999999999</v>
      </c>
      <c r="I15" s="2">
        <v>0.75</v>
      </c>
      <c r="J15" s="3">
        <v>557.05999999999995</v>
      </c>
      <c r="K15" s="1" t="s">
        <v>17</v>
      </c>
      <c r="L15">
        <v>22</v>
      </c>
      <c r="M15">
        <v>402</v>
      </c>
      <c r="N15" s="2">
        <v>0.355043</v>
      </c>
      <c r="O15" s="3">
        <v>601.48950123786904</v>
      </c>
    </row>
    <row r="16" spans="1:15" ht="30" x14ac:dyDescent="0.25">
      <c r="A16">
        <v>15</v>
      </c>
      <c r="B16">
        <v>16</v>
      </c>
      <c r="C16" s="2">
        <v>0.875</v>
      </c>
      <c r="D16" s="3">
        <v>979.66999999999905</v>
      </c>
      <c r="E16" s="1" t="s">
        <v>18</v>
      </c>
      <c r="F16">
        <v>22</v>
      </c>
      <c r="G16">
        <v>402</v>
      </c>
      <c r="H16" s="2">
        <v>0.14285700000000001</v>
      </c>
      <c r="I16" s="2">
        <v>0.875</v>
      </c>
      <c r="J16" s="3">
        <v>547.29999999999995</v>
      </c>
      <c r="K16" s="1" t="s">
        <v>18</v>
      </c>
      <c r="L16">
        <v>22</v>
      </c>
      <c r="M16">
        <v>402</v>
      </c>
      <c r="N16" s="2">
        <v>0.36168499999999998</v>
      </c>
      <c r="O16" s="3">
        <v>601.41167354583695</v>
      </c>
    </row>
    <row r="17" spans="1:15" ht="30" x14ac:dyDescent="0.25">
      <c r="A17">
        <v>16</v>
      </c>
      <c r="B17">
        <v>20</v>
      </c>
      <c r="C17" s="2">
        <v>0.65</v>
      </c>
      <c r="D17" s="3">
        <v>954.12999999999897</v>
      </c>
      <c r="E17" s="1" t="s">
        <v>19</v>
      </c>
      <c r="F17">
        <v>22</v>
      </c>
      <c r="G17">
        <v>402</v>
      </c>
      <c r="H17" s="2">
        <v>0.538462</v>
      </c>
      <c r="I17" s="2">
        <v>0.65</v>
      </c>
      <c r="J17" s="3">
        <v>498.81999999999903</v>
      </c>
      <c r="K17" s="1" t="s">
        <v>19</v>
      </c>
      <c r="L17">
        <v>20</v>
      </c>
      <c r="M17">
        <v>402</v>
      </c>
      <c r="N17" s="2">
        <v>0.42446199999999901</v>
      </c>
      <c r="O17" s="3">
        <v>601.61076021194401</v>
      </c>
    </row>
    <row r="18" spans="1:15" ht="30" x14ac:dyDescent="0.25">
      <c r="A18">
        <v>17</v>
      </c>
      <c r="B18">
        <v>20</v>
      </c>
      <c r="C18" s="2">
        <v>0.65</v>
      </c>
      <c r="D18" s="3">
        <v>945.71</v>
      </c>
      <c r="E18" s="1" t="s">
        <v>20</v>
      </c>
      <c r="F18">
        <v>22</v>
      </c>
      <c r="G18">
        <v>402</v>
      </c>
      <c r="H18" s="2">
        <v>0.538462</v>
      </c>
      <c r="I18" s="2">
        <v>0.65</v>
      </c>
      <c r="J18" s="3">
        <v>490.469999999999</v>
      </c>
      <c r="K18" s="1" t="s">
        <v>20</v>
      </c>
      <c r="L18">
        <v>20</v>
      </c>
      <c r="M18">
        <v>402</v>
      </c>
      <c r="N18" s="2">
        <v>0.39979999999999999</v>
      </c>
      <c r="O18" s="3">
        <v>601.68030929565396</v>
      </c>
    </row>
    <row r="19" spans="1:15" ht="30" x14ac:dyDescent="0.25">
      <c r="A19">
        <v>18</v>
      </c>
      <c r="B19">
        <v>20</v>
      </c>
      <c r="C19" s="2">
        <v>0.85</v>
      </c>
      <c r="D19" s="3">
        <v>998.74</v>
      </c>
      <c r="E19" s="1" t="s">
        <v>21</v>
      </c>
      <c r="F19">
        <v>22</v>
      </c>
      <c r="G19">
        <v>402</v>
      </c>
      <c r="H19" s="2">
        <v>0.17647099999999999</v>
      </c>
      <c r="I19" s="2">
        <v>0.85</v>
      </c>
      <c r="J19" s="3">
        <v>599.9</v>
      </c>
      <c r="K19" s="1" t="s">
        <v>21</v>
      </c>
      <c r="L19">
        <v>20</v>
      </c>
      <c r="M19">
        <v>402</v>
      </c>
      <c r="N19" s="2">
        <v>0.38914799999999999</v>
      </c>
      <c r="O19" s="3">
        <v>601.604912996292</v>
      </c>
    </row>
    <row r="20" spans="1:15" ht="30" x14ac:dyDescent="0.25">
      <c r="A20">
        <v>19</v>
      </c>
      <c r="B20">
        <v>20</v>
      </c>
      <c r="C20" s="2">
        <v>0.75</v>
      </c>
      <c r="D20" s="3">
        <v>1241.8699999999999</v>
      </c>
      <c r="E20" s="1" t="s">
        <v>22</v>
      </c>
      <c r="F20">
        <v>22</v>
      </c>
      <c r="G20">
        <v>402</v>
      </c>
      <c r="H20" s="2">
        <v>0.33333299999999999</v>
      </c>
      <c r="I20" s="2">
        <v>0.75</v>
      </c>
      <c r="J20" s="3">
        <v>678.46</v>
      </c>
      <c r="K20" s="1" t="s">
        <v>22</v>
      </c>
      <c r="L20">
        <v>22</v>
      </c>
      <c r="M20">
        <v>402</v>
      </c>
      <c r="N20" s="2">
        <v>0.42285499999999998</v>
      </c>
      <c r="O20" s="3">
        <v>601.99432516098</v>
      </c>
    </row>
    <row r="21" spans="1:15" ht="30" x14ac:dyDescent="0.25">
      <c r="A21">
        <v>20</v>
      </c>
      <c r="B21">
        <v>20</v>
      </c>
      <c r="C21" s="2">
        <v>0.8</v>
      </c>
      <c r="D21" s="3">
        <v>1109.7</v>
      </c>
      <c r="E21" s="1" t="s">
        <v>23</v>
      </c>
      <c r="F21">
        <v>22</v>
      </c>
      <c r="G21">
        <v>402</v>
      </c>
      <c r="H21" s="2">
        <v>0.25</v>
      </c>
      <c r="I21" s="2">
        <v>0.8</v>
      </c>
      <c r="J21" s="3">
        <v>542.03999999999905</v>
      </c>
      <c r="K21" s="1" t="s">
        <v>23</v>
      </c>
      <c r="L21">
        <v>19</v>
      </c>
      <c r="M21">
        <v>402</v>
      </c>
      <c r="N21" s="2">
        <v>0.38897500000000002</v>
      </c>
      <c r="O21" s="3">
        <v>602.31784391403198</v>
      </c>
    </row>
    <row r="22" spans="1:15" ht="30" x14ac:dyDescent="0.25">
      <c r="A22">
        <v>21</v>
      </c>
      <c r="B22">
        <v>24</v>
      </c>
      <c r="C22" s="2">
        <v>0.70833333333333304</v>
      </c>
      <c r="D22" s="3">
        <v>1396.7</v>
      </c>
      <c r="E22" s="1" t="s">
        <v>24</v>
      </c>
      <c r="F22">
        <v>22</v>
      </c>
      <c r="G22">
        <v>402</v>
      </c>
      <c r="H22" s="2">
        <v>0.41176499999999999</v>
      </c>
      <c r="I22" s="2">
        <v>0.70833333333333304</v>
      </c>
      <c r="J22" s="3">
        <v>688.23999999999899</v>
      </c>
      <c r="K22" s="1" t="s">
        <v>24</v>
      </c>
      <c r="L22">
        <v>20</v>
      </c>
      <c r="M22">
        <v>402</v>
      </c>
      <c r="N22" s="2">
        <v>0.462978</v>
      </c>
      <c r="O22" s="3">
        <v>602.20734453201203</v>
      </c>
    </row>
    <row r="23" spans="1:15" ht="30" x14ac:dyDescent="0.25">
      <c r="A23">
        <v>22</v>
      </c>
      <c r="B23">
        <v>24</v>
      </c>
      <c r="C23" s="2">
        <v>0.66666666666666596</v>
      </c>
      <c r="D23" s="3">
        <v>1377.09</v>
      </c>
      <c r="E23" s="1" t="s">
        <v>25</v>
      </c>
      <c r="F23">
        <v>22</v>
      </c>
      <c r="G23">
        <v>402</v>
      </c>
      <c r="H23" s="2">
        <v>0.5</v>
      </c>
      <c r="I23" s="2">
        <v>0.66666666666666596</v>
      </c>
      <c r="J23" s="3">
        <v>569.95000000000005</v>
      </c>
      <c r="K23" s="1" t="s">
        <v>25</v>
      </c>
      <c r="L23">
        <v>20</v>
      </c>
      <c r="M23">
        <v>402</v>
      </c>
      <c r="N23" s="2">
        <v>0.44409100000000001</v>
      </c>
      <c r="O23" s="3">
        <v>601.87082791328396</v>
      </c>
    </row>
    <row r="24" spans="1:15" ht="30" x14ac:dyDescent="0.25">
      <c r="A24">
        <v>23</v>
      </c>
      <c r="B24">
        <v>24</v>
      </c>
      <c r="C24" s="2">
        <v>0.625</v>
      </c>
      <c r="D24" s="3">
        <v>1072.25</v>
      </c>
      <c r="E24" s="1" t="s">
        <v>26</v>
      </c>
      <c r="F24">
        <v>22</v>
      </c>
      <c r="G24">
        <v>402</v>
      </c>
      <c r="H24" s="2">
        <v>0.6</v>
      </c>
      <c r="I24" s="2">
        <v>0.625</v>
      </c>
      <c r="J24" s="3">
        <v>538.229999999999</v>
      </c>
      <c r="K24" s="1" t="s">
        <v>26</v>
      </c>
      <c r="L24">
        <v>19</v>
      </c>
      <c r="M24">
        <v>402</v>
      </c>
      <c r="N24" s="2">
        <v>0.48518299999999998</v>
      </c>
      <c r="O24" s="3">
        <v>602.09437704086304</v>
      </c>
    </row>
    <row r="25" spans="1:15" ht="30" x14ac:dyDescent="0.25">
      <c r="A25">
        <v>24</v>
      </c>
      <c r="B25">
        <v>24</v>
      </c>
      <c r="C25" s="2">
        <v>0.625</v>
      </c>
      <c r="D25" s="3">
        <v>1329.5</v>
      </c>
      <c r="E25" s="1" t="s">
        <v>27</v>
      </c>
      <c r="F25">
        <v>22</v>
      </c>
      <c r="G25">
        <v>402</v>
      </c>
      <c r="H25" s="2">
        <v>0.6</v>
      </c>
      <c r="I25" s="2">
        <v>0.625</v>
      </c>
      <c r="J25" s="3">
        <v>575.61</v>
      </c>
      <c r="K25" s="1" t="s">
        <v>27</v>
      </c>
      <c r="L25">
        <v>19</v>
      </c>
      <c r="M25">
        <v>402</v>
      </c>
      <c r="N25" s="2">
        <v>0.53583199999999997</v>
      </c>
      <c r="O25" s="3">
        <v>601.78727388381901</v>
      </c>
    </row>
    <row r="26" spans="1:15" ht="30" x14ac:dyDescent="0.25">
      <c r="A26">
        <v>25</v>
      </c>
      <c r="B26">
        <v>24</v>
      </c>
      <c r="C26" s="2">
        <v>0.66666666666666596</v>
      </c>
      <c r="D26" s="3">
        <v>1243.79</v>
      </c>
      <c r="E26" s="1" t="s">
        <v>28</v>
      </c>
      <c r="F26">
        <v>22</v>
      </c>
      <c r="G26">
        <v>402</v>
      </c>
      <c r="H26" s="2">
        <v>0.5</v>
      </c>
      <c r="I26" s="2">
        <v>0.66666666666666596</v>
      </c>
      <c r="J26" s="3">
        <v>565.19000000000005</v>
      </c>
      <c r="K26" s="1" t="s">
        <v>28</v>
      </c>
      <c r="L26">
        <v>22</v>
      </c>
      <c r="M26">
        <v>402</v>
      </c>
      <c r="N26" s="2">
        <v>0.43431399999999998</v>
      </c>
      <c r="O26" s="3">
        <v>613.22455120086602</v>
      </c>
    </row>
    <row r="27" spans="1:15" ht="30" x14ac:dyDescent="0.25">
      <c r="A27">
        <v>26</v>
      </c>
      <c r="B27">
        <v>28</v>
      </c>
      <c r="C27" s="2">
        <v>0.64285714285714202</v>
      </c>
      <c r="D27" s="3">
        <v>1425.63</v>
      </c>
      <c r="E27" s="1" t="s">
        <v>29</v>
      </c>
      <c r="F27">
        <v>22</v>
      </c>
      <c r="G27">
        <v>402</v>
      </c>
      <c r="H27" s="2">
        <v>0.55555599999999905</v>
      </c>
      <c r="I27" s="2">
        <v>0.64285714285714202</v>
      </c>
      <c r="J27" s="3">
        <v>622.16999999999996</v>
      </c>
      <c r="K27" s="1" t="s">
        <v>29</v>
      </c>
      <c r="L27">
        <v>21</v>
      </c>
      <c r="M27">
        <v>402</v>
      </c>
      <c r="N27" s="2">
        <v>0.52935699999999997</v>
      </c>
      <c r="O27" s="3">
        <v>601.99561476707402</v>
      </c>
    </row>
    <row r="28" spans="1:15" ht="30" x14ac:dyDescent="0.25">
      <c r="A28">
        <v>27</v>
      </c>
      <c r="B28">
        <v>28</v>
      </c>
      <c r="C28" s="2">
        <v>0.67857142857142805</v>
      </c>
      <c r="D28" s="3">
        <v>1649.49</v>
      </c>
      <c r="E28" s="1" t="s">
        <v>30</v>
      </c>
      <c r="F28">
        <v>22</v>
      </c>
      <c r="G28">
        <v>402</v>
      </c>
      <c r="H28" s="2">
        <v>0.47368399999999999</v>
      </c>
      <c r="I28" s="2">
        <v>0.67857142857142805</v>
      </c>
      <c r="J28" s="3">
        <v>718.62999999999897</v>
      </c>
      <c r="K28" s="1" t="s">
        <v>30</v>
      </c>
      <c r="L28">
        <v>22</v>
      </c>
      <c r="M28">
        <v>402</v>
      </c>
      <c r="N28" s="2">
        <v>0.48769199999999902</v>
      </c>
      <c r="O28" s="3">
        <v>603.08267664909295</v>
      </c>
    </row>
    <row r="29" spans="1:15" ht="30" x14ac:dyDescent="0.25">
      <c r="A29">
        <v>28</v>
      </c>
      <c r="B29">
        <v>28</v>
      </c>
      <c r="C29" s="2">
        <v>0.64285714285714202</v>
      </c>
      <c r="D29" s="3">
        <v>1363.19</v>
      </c>
      <c r="E29" s="1" t="s">
        <v>31</v>
      </c>
      <c r="F29">
        <v>22</v>
      </c>
      <c r="G29">
        <v>402</v>
      </c>
      <c r="H29" s="2">
        <v>0.55555599999999905</v>
      </c>
      <c r="I29" s="2">
        <v>0.64285714285714202</v>
      </c>
      <c r="J29" s="3">
        <v>706.29999999999905</v>
      </c>
      <c r="K29" s="1" t="s">
        <v>31</v>
      </c>
      <c r="L29">
        <v>22</v>
      </c>
      <c r="M29">
        <v>402</v>
      </c>
      <c r="N29" s="2">
        <v>0.58016400000000001</v>
      </c>
      <c r="O29" s="3">
        <v>602.09693431854203</v>
      </c>
    </row>
    <row r="30" spans="1:15" ht="30" x14ac:dyDescent="0.25">
      <c r="A30">
        <v>29</v>
      </c>
      <c r="B30">
        <v>28</v>
      </c>
      <c r="C30" s="2">
        <v>0.71428571428571397</v>
      </c>
      <c r="D30" s="3">
        <v>1893.29</v>
      </c>
      <c r="E30" s="1" t="s">
        <v>32</v>
      </c>
      <c r="F30">
        <v>22</v>
      </c>
      <c r="G30">
        <v>402</v>
      </c>
      <c r="H30" s="2">
        <v>0.4</v>
      </c>
      <c r="I30" s="2">
        <v>0.71428571428571397</v>
      </c>
      <c r="J30" s="3">
        <v>922.80999999999904</v>
      </c>
      <c r="K30" s="1" t="s">
        <v>32</v>
      </c>
      <c r="L30">
        <v>20</v>
      </c>
      <c r="M30">
        <v>402</v>
      </c>
      <c r="N30" s="2">
        <v>0.58646999999999905</v>
      </c>
      <c r="O30" s="3">
        <v>602.16031241416897</v>
      </c>
    </row>
    <row r="31" spans="1:15" ht="30" x14ac:dyDescent="0.25">
      <c r="A31">
        <v>30</v>
      </c>
      <c r="B31">
        <v>28</v>
      </c>
      <c r="C31" s="2">
        <v>0.60714285714285698</v>
      </c>
      <c r="D31" s="3">
        <v>1452.53</v>
      </c>
      <c r="E31" s="1" t="s">
        <v>33</v>
      </c>
      <c r="F31">
        <v>22</v>
      </c>
      <c r="G31">
        <v>402</v>
      </c>
      <c r="H31" s="2">
        <v>0.64705900000000005</v>
      </c>
      <c r="I31" s="2">
        <v>0.60714285714285698</v>
      </c>
      <c r="J31" s="3">
        <v>765.61999999999796</v>
      </c>
      <c r="K31" s="1" t="s">
        <v>33</v>
      </c>
      <c r="L31">
        <v>19</v>
      </c>
      <c r="M31">
        <v>402</v>
      </c>
      <c r="N31" s="2">
        <v>0.52724599999999999</v>
      </c>
      <c r="O31" s="3">
        <v>602.17967438697804</v>
      </c>
    </row>
    <row r="35" spans="4:22" x14ac:dyDescent="0.25">
      <c r="Q35" t="s">
        <v>37</v>
      </c>
      <c r="R35" t="s">
        <v>38</v>
      </c>
      <c r="S35" t="s">
        <v>39</v>
      </c>
      <c r="T35" t="s">
        <v>42</v>
      </c>
      <c r="U35" t="s">
        <v>41</v>
      </c>
      <c r="V35" t="s">
        <v>40</v>
      </c>
    </row>
    <row r="36" spans="4:22" x14ac:dyDescent="0.25">
      <c r="Q36">
        <v>8</v>
      </c>
      <c r="R36" s="4">
        <v>1</v>
      </c>
      <c r="S36" s="4">
        <f t="shared" ref="S36:S41" si="0">AVERAGEIFS($I$2:$I$31,$B$2:$B$31,Q36)</f>
        <v>1</v>
      </c>
      <c r="T36" s="4">
        <v>1</v>
      </c>
      <c r="U36">
        <v>363.21599999999916</v>
      </c>
      <c r="V36" s="5">
        <f>AVERAGEIFS($J$2:$J$31,$B$2:$B$31,$Q36)</f>
        <v>363.46999999999855</v>
      </c>
    </row>
    <row r="37" spans="4:22" x14ac:dyDescent="0.25">
      <c r="Q37">
        <v>12</v>
      </c>
      <c r="R37" s="4">
        <v>0.97865377463741154</v>
      </c>
      <c r="S37" s="4">
        <f t="shared" si="0"/>
        <v>1</v>
      </c>
      <c r="T37" s="4">
        <v>1</v>
      </c>
      <c r="U37">
        <v>699.52599999999939</v>
      </c>
      <c r="V37" s="5">
        <f t="shared" ref="V37:V41" si="1">AVERAGEIFS($J$2:$J$31,$B$2:$B$31,$Q37)</f>
        <v>728.72999999999922</v>
      </c>
    </row>
    <row r="38" spans="4:22" x14ac:dyDescent="0.25">
      <c r="Q38">
        <v>16</v>
      </c>
      <c r="R38" s="4">
        <v>0.82611024673502498</v>
      </c>
      <c r="S38" s="4">
        <f t="shared" si="0"/>
        <v>0.78749999999999998</v>
      </c>
      <c r="T38" s="4">
        <f>G46</f>
        <v>0.76289439651242097</v>
      </c>
      <c r="U38">
        <v>690.03799999999933</v>
      </c>
      <c r="V38" s="5">
        <f t="shared" si="1"/>
        <v>698.72199999999941</v>
      </c>
    </row>
    <row r="39" spans="4:22" x14ac:dyDescent="0.25">
      <c r="Q39">
        <v>20</v>
      </c>
      <c r="R39" s="4">
        <v>0.75158023160994381</v>
      </c>
      <c r="S39" s="4">
        <f t="shared" si="0"/>
        <v>0.74</v>
      </c>
      <c r="T39" s="4">
        <f>G51</f>
        <v>0.7540169524</v>
      </c>
      <c r="U39">
        <v>557.93399999999963</v>
      </c>
      <c r="V39" s="5">
        <f t="shared" si="1"/>
        <v>561.93799999999942</v>
      </c>
    </row>
    <row r="40" spans="4:22" x14ac:dyDescent="0.25">
      <c r="Q40">
        <v>24</v>
      </c>
      <c r="R40" s="4">
        <v>0.65264622424713181</v>
      </c>
      <c r="S40" s="4">
        <f t="shared" si="0"/>
        <v>0.65833333333333299</v>
      </c>
      <c r="T40" s="4">
        <f>G56</f>
        <v>0.64808910860000002</v>
      </c>
      <c r="U40">
        <v>610.1699999999995</v>
      </c>
      <c r="V40" s="5">
        <f t="shared" si="1"/>
        <v>587.44399999999973</v>
      </c>
    </row>
    <row r="41" spans="4:22" x14ac:dyDescent="0.25">
      <c r="Q41">
        <v>28</v>
      </c>
      <c r="R41" s="4">
        <v>0.66226981820854669</v>
      </c>
      <c r="S41" s="4">
        <f t="shared" si="0"/>
        <v>0.65714285714285658</v>
      </c>
      <c r="T41" s="4">
        <f>G61</f>
        <v>0.65605760320000006</v>
      </c>
      <c r="U41">
        <v>742.63599999999929</v>
      </c>
      <c r="V41" s="5">
        <f t="shared" si="1"/>
        <v>747.10599999999909</v>
      </c>
    </row>
    <row r="45" spans="4:22" x14ac:dyDescent="0.25">
      <c r="D45" t="s">
        <v>48</v>
      </c>
      <c r="E45" t="s">
        <v>49</v>
      </c>
      <c r="F45" t="s">
        <v>50</v>
      </c>
    </row>
    <row r="46" spans="4:22" ht="30" x14ac:dyDescent="0.25">
      <c r="D46" t="s">
        <v>43</v>
      </c>
      <c r="E46" s="1" t="s">
        <v>14</v>
      </c>
      <c r="F46">
        <v>0.70876810465659568</v>
      </c>
      <c r="G46">
        <f>AVERAGE(F46:F50)</f>
        <v>0.76289439651242097</v>
      </c>
    </row>
    <row r="47" spans="4:22" ht="30" x14ac:dyDescent="0.25">
      <c r="D47" t="s">
        <v>44</v>
      </c>
      <c r="E47" s="1" t="s">
        <v>15</v>
      </c>
      <c r="F47">
        <v>0.70890669892635727</v>
      </c>
    </row>
    <row r="48" spans="4:22" ht="30" x14ac:dyDescent="0.25">
      <c r="D48" t="s">
        <v>45</v>
      </c>
      <c r="E48" s="1" t="s">
        <v>16</v>
      </c>
      <c r="F48">
        <v>0.78509532062391674</v>
      </c>
    </row>
    <row r="49" spans="4:7" ht="30" x14ac:dyDescent="0.25">
      <c r="D49" t="s">
        <v>46</v>
      </c>
      <c r="E49" s="1" t="s">
        <v>17</v>
      </c>
      <c r="F49">
        <v>0.75777865301299741</v>
      </c>
    </row>
    <row r="50" spans="4:7" ht="30" x14ac:dyDescent="0.25">
      <c r="D50" t="s">
        <v>47</v>
      </c>
      <c r="E50" s="1" t="s">
        <v>18</v>
      </c>
      <c r="F50">
        <v>0.8539232053422372</v>
      </c>
    </row>
    <row r="51" spans="4:7" ht="30" x14ac:dyDescent="0.25">
      <c r="D51" t="s">
        <v>51</v>
      </c>
      <c r="E51" s="1" t="s">
        <v>19</v>
      </c>
      <c r="F51" s="10">
        <v>0.63115789499999997</v>
      </c>
      <c r="G51">
        <f>AVERAGE(F51:F55)</f>
        <v>0.7540169524</v>
      </c>
    </row>
    <row r="52" spans="4:7" ht="30" x14ac:dyDescent="0.25">
      <c r="D52" t="s">
        <v>52</v>
      </c>
      <c r="E52" s="1" t="s">
        <v>20</v>
      </c>
      <c r="F52" s="8">
        <v>0.67241613499999997</v>
      </c>
    </row>
    <row r="53" spans="4:7" ht="30" x14ac:dyDescent="0.25">
      <c r="D53" t="s">
        <v>53</v>
      </c>
      <c r="E53" s="1" t="s">
        <v>21</v>
      </c>
      <c r="F53" s="8">
        <v>0.83299420899999999</v>
      </c>
    </row>
    <row r="54" spans="4:7" ht="30" x14ac:dyDescent="0.25">
      <c r="D54" t="s">
        <v>54</v>
      </c>
      <c r="E54" s="1" t="s">
        <v>22</v>
      </c>
      <c r="F54" s="8">
        <v>0.77727143300000001</v>
      </c>
    </row>
    <row r="55" spans="4:7" ht="30" x14ac:dyDescent="0.25">
      <c r="D55" t="s">
        <v>55</v>
      </c>
      <c r="E55" s="1" t="s">
        <v>23</v>
      </c>
      <c r="F55" s="8">
        <v>0.85624509000000004</v>
      </c>
    </row>
    <row r="56" spans="4:7" ht="30" x14ac:dyDescent="0.25">
      <c r="D56" t="s">
        <v>57</v>
      </c>
      <c r="E56" s="1" t="s">
        <v>24</v>
      </c>
      <c r="F56" s="8">
        <v>0.72291070899999998</v>
      </c>
      <c r="G56">
        <f>AVERAGE(F56:F60)</f>
        <v>0.64808910860000002</v>
      </c>
    </row>
    <row r="57" spans="4:7" ht="30" x14ac:dyDescent="0.25">
      <c r="D57" t="s">
        <v>58</v>
      </c>
      <c r="E57" s="1" t="s">
        <v>25</v>
      </c>
      <c r="F57" s="8">
        <v>0.66710983800000001</v>
      </c>
    </row>
    <row r="58" spans="4:7" ht="30" x14ac:dyDescent="0.25">
      <c r="D58" t="s">
        <v>59</v>
      </c>
      <c r="E58" s="1" t="s">
        <v>26</v>
      </c>
      <c r="F58" s="8">
        <v>0.59235307500000001</v>
      </c>
    </row>
    <row r="59" spans="4:7" ht="30" x14ac:dyDescent="0.25">
      <c r="D59" t="s">
        <v>60</v>
      </c>
      <c r="E59" s="1" t="s">
        <v>27</v>
      </c>
      <c r="F59" s="8">
        <v>0.64080645199999997</v>
      </c>
    </row>
    <row r="60" spans="4:7" ht="30" x14ac:dyDescent="0.25">
      <c r="D60" t="s">
        <v>56</v>
      </c>
      <c r="E60" s="1" t="s">
        <v>28</v>
      </c>
      <c r="F60" s="8">
        <v>0.61726546900000001</v>
      </c>
    </row>
    <row r="61" spans="4:7" ht="30" x14ac:dyDescent="0.25">
      <c r="D61" t="s">
        <v>61</v>
      </c>
      <c r="E61" s="1" t="s">
        <v>29</v>
      </c>
      <c r="F61" s="8">
        <v>0.605415861</v>
      </c>
      <c r="G61">
        <f>AVERAGE(F61:F65)</f>
        <v>0.65605760320000006</v>
      </c>
    </row>
    <row r="62" spans="4:7" ht="30" x14ac:dyDescent="0.25">
      <c r="D62" t="s">
        <v>62</v>
      </c>
      <c r="E62" s="1" t="s">
        <v>30</v>
      </c>
      <c r="F62" s="8">
        <v>0.63923262199999997</v>
      </c>
    </row>
    <row r="63" spans="4:7" ht="30" x14ac:dyDescent="0.25">
      <c r="D63" t="s">
        <v>63</v>
      </c>
      <c r="E63" s="1" t="s">
        <v>31</v>
      </c>
      <c r="F63" s="8">
        <v>0.65987294900000004</v>
      </c>
    </row>
    <row r="64" spans="4:7" ht="30" x14ac:dyDescent="0.25">
      <c r="D64" t="s">
        <v>64</v>
      </c>
      <c r="E64" s="1" t="s">
        <v>32</v>
      </c>
      <c r="F64" s="8">
        <v>0.72861820600000005</v>
      </c>
    </row>
    <row r="65" spans="4:11" ht="30" x14ac:dyDescent="0.25">
      <c r="D65" t="s">
        <v>65</v>
      </c>
      <c r="E65" s="1" t="s">
        <v>33</v>
      </c>
      <c r="F65" s="8">
        <v>0.64714837800000002</v>
      </c>
    </row>
    <row r="71" spans="4:11" x14ac:dyDescent="0.25">
      <c r="J71" s="7"/>
      <c r="K71" s="9"/>
    </row>
    <row r="72" spans="4:11" x14ac:dyDescent="0.25">
      <c r="J72" s="10"/>
      <c r="K72" s="8"/>
    </row>
    <row r="73" spans="4:11" x14ac:dyDescent="0.25">
      <c r="J73" s="10"/>
      <c r="K73" s="8"/>
    </row>
    <row r="74" spans="4:11" x14ac:dyDescent="0.25">
      <c r="J74" s="10"/>
      <c r="K74" s="8"/>
    </row>
    <row r="75" spans="4:11" x14ac:dyDescent="0.25">
      <c r="J75" s="10"/>
      <c r="K75" s="8"/>
    </row>
    <row r="76" spans="4:11" x14ac:dyDescent="0.25">
      <c r="J76" s="10"/>
      <c r="K76" s="8"/>
    </row>
    <row r="77" spans="4:11" x14ac:dyDescent="0.25">
      <c r="J77" s="10"/>
      <c r="K77" s="8"/>
    </row>
    <row r="78" spans="4:11" x14ac:dyDescent="0.25">
      <c r="J78" s="10"/>
      <c r="K78" s="8"/>
    </row>
    <row r="79" spans="4:11" x14ac:dyDescent="0.25">
      <c r="J79" s="10"/>
      <c r="K79" s="8"/>
    </row>
    <row r="80" spans="4:11" x14ac:dyDescent="0.25">
      <c r="J80" s="10"/>
      <c r="K80" s="8"/>
    </row>
    <row r="81" spans="10:11" x14ac:dyDescent="0.25">
      <c r="J81" s="10"/>
      <c r="K81" s="8"/>
    </row>
    <row r="82" spans="10:11" x14ac:dyDescent="0.25">
      <c r="J82" s="10"/>
      <c r="K82" s="8"/>
    </row>
    <row r="83" spans="10:11" x14ac:dyDescent="0.25">
      <c r="J83" s="10"/>
      <c r="K83" s="8"/>
    </row>
    <row r="84" spans="10:11" x14ac:dyDescent="0.25">
      <c r="J84" s="10"/>
      <c r="K84" s="8"/>
    </row>
    <row r="85" spans="10:11" x14ac:dyDescent="0.25">
      <c r="J85" s="10"/>
      <c r="K85" s="8"/>
    </row>
    <row r="86" spans="10:11" x14ac:dyDescent="0.25">
      <c r="J86" s="10"/>
      <c r="K86" s="8"/>
    </row>
    <row r="104" spans="5:5" x14ac:dyDescent="0.25">
      <c r="E104" s="1"/>
    </row>
    <row r="119" spans="5:5" x14ac:dyDescent="0.25">
      <c r="E119" s="1"/>
    </row>
    <row r="253" spans="5:5" x14ac:dyDescent="0.25">
      <c r="E253" s="6"/>
    </row>
    <row r="278" spans="5:5" x14ac:dyDescent="0.25">
      <c r="E278" s="6"/>
    </row>
    <row r="303" spans="5:5" x14ac:dyDescent="0.25">
      <c r="E303" s="6"/>
    </row>
    <row r="332" spans="5:5" x14ac:dyDescent="0.25">
      <c r="E332" s="6"/>
    </row>
    <row r="361" spans="5:5" x14ac:dyDescent="0.25">
      <c r="E361" s="6"/>
    </row>
    <row r="390" spans="5:5" x14ac:dyDescent="0.25">
      <c r="E390" s="6"/>
    </row>
    <row r="419" spans="5:5" x14ac:dyDescent="0.25">
      <c r="E419" s="6"/>
    </row>
  </sheetData>
  <sortState xmlns:xlrd2="http://schemas.microsoft.com/office/spreadsheetml/2017/richdata2" ref="A2:O31">
    <sortCondition ref="B2:B31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Guerrero</dc:creator>
  <cp:lastModifiedBy>Juan Pablo Guerrero</cp:lastModifiedBy>
  <dcterms:created xsi:type="dcterms:W3CDTF">2026-03-25T09:44:00Z</dcterms:created>
  <dcterms:modified xsi:type="dcterms:W3CDTF">2026-05-08T18:36:30Z</dcterms:modified>
</cp:coreProperties>
</file>