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os\MODELO MVPTP TESIS\Resultados\"/>
    </mc:Choice>
  </mc:AlternateContent>
  <xr:revisionPtr revIDLastSave="0" documentId="13_ncr:1_{84D8DB01-2CF6-4639-AA3E-8251150579DA}" xr6:coauthVersionLast="47" xr6:coauthVersionMax="47" xr10:uidLastSave="{00000000-0000-0000-0000-000000000000}"/>
  <bookViews>
    <workbookView xWindow="2115" yWindow="2115" windowWidth="28800" windowHeight="15885" xr2:uid="{82B769CB-CEC7-4275-9993-6FB2CD98782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/>
  <c r="J42" i="1"/>
  <c r="K42" i="1"/>
  <c r="J43" i="1"/>
  <c r="K43" i="1"/>
  <c r="J44" i="1"/>
  <c r="K44" i="1"/>
  <c r="J45" i="1"/>
  <c r="K45" i="1"/>
  <c r="K40" i="1"/>
  <c r="J40" i="1"/>
  <c r="I40" i="1"/>
  <c r="I41" i="1"/>
  <c r="I42" i="1"/>
  <c r="I43" i="1"/>
  <c r="I44" i="1"/>
  <c r="I45" i="1"/>
  <c r="H41" i="1"/>
  <c r="H42" i="1"/>
  <c r="H43" i="1"/>
  <c r="H44" i="1"/>
  <c r="H45" i="1"/>
  <c r="H40" i="1"/>
  <c r="G41" i="1"/>
  <c r="G42" i="1"/>
  <c r="G43" i="1"/>
  <c r="G44" i="1"/>
  <c r="G45" i="1"/>
  <c r="G40" i="1"/>
  <c r="E40" i="1"/>
  <c r="E41" i="1"/>
  <c r="E42" i="1"/>
  <c r="E43" i="1"/>
  <c r="E44" i="1"/>
  <c r="E45" i="1"/>
  <c r="F41" i="1"/>
  <c r="F42" i="1"/>
  <c r="F43" i="1"/>
  <c r="F44" i="1"/>
  <c r="F45" i="1"/>
  <c r="F40" i="1"/>
  <c r="D41" i="1"/>
  <c r="D42" i="1"/>
  <c r="D43" i="1"/>
  <c r="D44" i="1"/>
  <c r="D45" i="1"/>
  <c r="D40" i="1"/>
  <c r="C41" i="1"/>
  <c r="C42" i="1"/>
  <c r="C43" i="1"/>
  <c r="C44" i="1"/>
  <c r="C45" i="1"/>
  <c r="C40" i="1"/>
  <c r="B41" i="1"/>
  <c r="B42" i="1"/>
  <c r="B43" i="1"/>
  <c r="B44" i="1"/>
  <c r="B45" i="1"/>
  <c r="B4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N3" i="1"/>
  <c r="N4" i="1"/>
  <c r="N5" i="1"/>
  <c r="N6" i="1"/>
  <c r="N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G3" i="1"/>
  <c r="G4" i="1"/>
  <c r="G5" i="1"/>
  <c r="G6" i="1"/>
  <c r="G7" i="1"/>
</calcChain>
</file>

<file path=xl/sharedStrings.xml><?xml version="1.0" encoding="utf-8"?>
<sst xmlns="http://schemas.openxmlformats.org/spreadsheetml/2006/main" count="121" uniqueCount="80">
  <si>
    <t>INSTANCIA</t>
  </si>
  <si>
    <t>COBERTURA F1</t>
  </si>
  <si>
    <t>DISTANCIA F1 [km]</t>
  </si>
  <si>
    <t>F1: Y_i</t>
  </si>
  <si>
    <t>F1 solve_result_num</t>
  </si>
  <si>
    <t>GAP F1</t>
  </si>
  <si>
    <t>COBERTURA F2</t>
  </si>
  <si>
    <t>DISTANCIA F2 [km]</t>
  </si>
  <si>
    <t>F2: Y_i</t>
  </si>
  <si>
    <t>F2 solve_result_num</t>
  </si>
  <si>
    <t>GAP F2</t>
  </si>
  <si>
    <t>TIEMPO F1+F2 [s]</t>
  </si>
  <si>
    <t>F1, F10, F11, F12, F2, F3, F4, F5, F6, F7, F8, F9</t>
  </si>
  <si>
    <t>F10, F11, F12, F2, F3, F4, F5, F6, F7, F8, F9</t>
  </si>
  <si>
    <t>F1, F10, F11, F12, F13, F14, F16, F3, F5, F6, F7, F9</t>
  </si>
  <si>
    <t>F1, F10, F11, F12, F13, F14, F15, F16, F3, F5, F6, F7, F9</t>
  </si>
  <si>
    <t>F1, F10, F11, F12, F13, F14, F15, F16, F3, F5, F6, F7, F8, F9</t>
  </si>
  <si>
    <t>F1, F11, F12, F13, F14, F15, F16, F2, F3, F5, F6, F8</t>
  </si>
  <si>
    <t>F1, F10, F12, F13, F15, F16, F2, F3, F4, F5, F6, F7, F8, F9</t>
  </si>
  <si>
    <t>F11, F13, F14, F15, F16, F17, F18, F20, F3, F4, F5, F6, F8, F9</t>
  </si>
  <si>
    <t>F11, F13, F14, F15, F16, F17, F18, F20, F3, F4, F5, F8, F9</t>
  </si>
  <si>
    <t>F1, F10, F11, F12, F13, F15, F16, F17, F18, F2, F20, F3, F4, F6, F7, F8, F9</t>
  </si>
  <si>
    <t>F1, F10, F11, F12, F13, F14, F17, F19, F2, F20, F5, F6, F7, F9</t>
  </si>
  <si>
    <t>F11, F13, F14, F15, F16, F17, F18, F19, F20, F3, F4, F5, F6, F7, F8, F9</t>
  </si>
  <si>
    <t>F11, F14, F15, F16, F17, F19, F2, F20, F21, F22, F23, F24, F3, F4, F6, F7, F9</t>
  </si>
  <si>
    <t>F11, F12, F14, F16, F17, F19, F2, F20, F21, F22, F24, F3, F4, F6, F7, F9</t>
  </si>
  <si>
    <t>F1, F10, F11, F12, F17, F18, F19, F2, F20, F23, F4, F5, F6, F7, F8, F9</t>
  </si>
  <si>
    <t>F1, F11, F12, F14, F15, F19, F2, F20, F22, F23, F3, F5, F8, F9</t>
  </si>
  <si>
    <t>F1, F10, F11, F13, F14, F15, F17, F18, F20, F21, F24, F3, F4, F5, F7, F8</t>
  </si>
  <si>
    <t>F1, F10, F11, F12, F14, F15, F19, F21, F22, F24, F26, F27, F28, F4, F5, F6, F7, F8</t>
  </si>
  <si>
    <t>F1, F10, F11, F12, F14, F15, F19, F20, F21, F22, F23, F24, F26, F27, F28, F4, F5, F6, F7, F8</t>
  </si>
  <si>
    <t>F10, F12, F13, F14, F15, F16, F17, F18, F19, F2, F22, F23, F24, F25, F27, F5, F7, F9</t>
  </si>
  <si>
    <t>F1, F10, F11, F12, F13, F16, F17, F18, F19, F20, F22, F23, F24, F25, F26, F3, F4, F6, F7, F8</t>
  </si>
  <si>
    <t>F1, F10, F11, F12, F14, F16, F17, F18, F19, F2, F20, F24, F26, F27, F28, F6, F8</t>
  </si>
  <si>
    <t>F1, F2, F3, F4, F5, F6, F7, F8</t>
  </si>
  <si>
    <t># NODOS ATENDIDOS</t>
  </si>
  <si>
    <t>VEHICULOS F1</t>
  </si>
  <si>
    <t>VEHICULOS F2</t>
  </si>
  <si>
    <t># NODOS (SET I)</t>
  </si>
  <si>
    <t>CALI_12_1</t>
  </si>
  <si>
    <t>CALI_12_2</t>
  </si>
  <si>
    <t>CALI_12_3</t>
  </si>
  <si>
    <t>CALI_12_4</t>
  </si>
  <si>
    <t>CALI_12_5</t>
  </si>
  <si>
    <t>CALI_16_1</t>
  </si>
  <si>
    <t>CALI_16_2</t>
  </si>
  <si>
    <t>CALI_16_3</t>
  </si>
  <si>
    <t>CALI_16_4</t>
  </si>
  <si>
    <t>CALI_16_5</t>
  </si>
  <si>
    <t>CALI_20_1</t>
  </si>
  <si>
    <t>CALI_20_2</t>
  </si>
  <si>
    <t>CALI_20_3</t>
  </si>
  <si>
    <t>CALI_20_4</t>
  </si>
  <si>
    <t>CALI_20_5</t>
  </si>
  <si>
    <t>CALI_24_1</t>
  </si>
  <si>
    <t>CALI_24_2</t>
  </si>
  <si>
    <t>CALI_24_3</t>
  </si>
  <si>
    <t>CALI_24_4</t>
  </si>
  <si>
    <t>CALI_24_5</t>
  </si>
  <si>
    <t>CALI_28_1</t>
  </si>
  <si>
    <t>CALI_28_2</t>
  </si>
  <si>
    <t>CALI_28_3</t>
  </si>
  <si>
    <t>CALI_28_4</t>
  </si>
  <si>
    <t>CALI_28_5</t>
  </si>
  <si>
    <t>CALI_8_1</t>
  </si>
  <si>
    <t>CALI_8_2</t>
  </si>
  <si>
    <t>CALI_8_3</t>
  </si>
  <si>
    <t>CALI_8_4</t>
  </si>
  <si>
    <t>CALI_8_5</t>
  </si>
  <si>
    <t>Cobertura promedio</t>
  </si>
  <si>
    <t>Tiempo promedio</t>
  </si>
  <si>
    <t>Distancia promedio F1</t>
  </si>
  <si>
    <t>Distancia promedio F2</t>
  </si>
  <si>
    <t>I</t>
  </si>
  <si>
    <t>Delta Distancias</t>
  </si>
  <si>
    <t>Eficiencia F1</t>
  </si>
  <si>
    <t>Eficiencia F2</t>
  </si>
  <si>
    <t>Promedio nodos atendidos</t>
  </si>
  <si>
    <t>Dist/Cob F1</t>
  </si>
  <si>
    <t>Dist/Cob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</si>
</sst>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"/>
    <numFmt numFmtId="165" formatCode="_-&quot;$&quot;* #,##0_-;\-&quot;$&quot;* #,##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2" fontId="0" fillId="0" borderId="0" xfId="0" applyNumberFormat="1"/>
    <xf numFmtId="9" fontId="0" fillId="0" borderId="0" xfId="1" applyFont="1"/>
    <xf numFmtId="9" fontId="0" fillId="0" borderId="1" xfId="1" applyNumberFormat="1" applyFont="1" applyBorder="1" applyAlignment="1">
      <alignment vertical="center"/>
    </xf>
    <xf numFmtId="44" fontId="0" fillId="0" borderId="0" xfId="2" applyFont="1"/>
    <xf numFmtId="4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4" fontId="0" fillId="0" borderId="1" xfId="0" applyNumberFormat="1" applyBorder="1" applyAlignment="1">
      <alignment vertical="center"/>
    </xf>
    <xf numFmtId="0" fontId="0" fillId="0" borderId="1" xfId="0" applyBorder="1"/>
    <xf numFmtId="2" fontId="0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1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103061"/>
      <color rgb="FFBD897E"/>
      <color rgb="FFFAC8CD"/>
      <color rgb="FFFEC107"/>
      <color rgb="FF3A5743"/>
      <color rgb="FF640D14"/>
      <color rgb="FFE0D8DE"/>
      <color rgb="FF4E6E58"/>
      <color rgb="FFF2A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15875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Hoja1!$B$2:$B$31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</c:numCache>
            </c:numRef>
          </c:xVal>
          <c:yVal>
            <c:numRef>
              <c:f>Hoja1!$J$2:$J$31</c:f>
              <c:numCache>
                <c:formatCode>0%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0.89326887318705805</c:v>
                </c:pt>
                <c:pt idx="8">
                  <c:v>1</c:v>
                </c:pt>
                <c:pt idx="9">
                  <c:v>1</c:v>
                </c:pt>
                <c:pt idx="10">
                  <c:v>0.76997352437315003</c:v>
                </c:pt>
                <c:pt idx="11">
                  <c:v>0.85921669438983805</c:v>
                </c:pt>
                <c:pt idx="12">
                  <c:v>0.88965915655690297</c:v>
                </c:pt>
                <c:pt idx="13">
                  <c:v>0.75777865301299696</c:v>
                </c:pt>
                <c:pt idx="14">
                  <c:v>0.85392320534223698</c:v>
                </c:pt>
                <c:pt idx="15">
                  <c:v>0.68743859649122796</c:v>
                </c:pt>
                <c:pt idx="16">
                  <c:v>0.64824120603015001</c:v>
                </c:pt>
                <c:pt idx="17">
                  <c:v>0.83299420879636799</c:v>
                </c:pt>
                <c:pt idx="18">
                  <c:v>0.73298205639418901</c:v>
                </c:pt>
                <c:pt idx="19">
                  <c:v>0.85624509033778395</c:v>
                </c:pt>
                <c:pt idx="20">
                  <c:v>0.73297320199131399</c:v>
                </c:pt>
                <c:pt idx="21">
                  <c:v>0.65759869093884205</c:v>
                </c:pt>
                <c:pt idx="22">
                  <c:v>0.64340821420467398</c:v>
                </c:pt>
                <c:pt idx="23">
                  <c:v>0.56645161290322499</c:v>
                </c:pt>
                <c:pt idx="24">
                  <c:v>0.66279940119760405</c:v>
                </c:pt>
                <c:pt idx="25">
                  <c:v>0.62072856221792305</c:v>
                </c:pt>
                <c:pt idx="26">
                  <c:v>0.68897932065443002</c:v>
                </c:pt>
                <c:pt idx="27">
                  <c:v>0.62661019940003504</c:v>
                </c:pt>
                <c:pt idx="28">
                  <c:v>0.76149312377210199</c:v>
                </c:pt>
                <c:pt idx="29">
                  <c:v>0.61353788499824302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D-4F51-88AB-4119DB4F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233328"/>
        <c:axId val="2045927456"/>
      </c:scatterChart>
      <c:valAx>
        <c:axId val="2046233328"/>
        <c:scaling>
          <c:orientation val="minMax"/>
          <c:max val="28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400" b="1"/>
                  <a:t>Número de nodos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2045927456"/>
        <c:crosses val="autoZero"/>
        <c:crossBetween val="midCat"/>
        <c:majorUnit val="4"/>
      </c:valAx>
      <c:valAx>
        <c:axId val="204592745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400" b="1"/>
                  <a:t>Cobertura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204623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v>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Hoja1!$K$2</c:f>
              <c:numCache>
                <c:formatCode>General</c:formatCode>
                <c:ptCount val="1"/>
                <c:pt idx="0">
                  <c:v>250.96</c:v>
                </c:pt>
              </c:numCache>
            </c:numRef>
          </c:xVal>
          <c:yVal>
            <c:numRef>
              <c:f>Hoja1!$J$2:$J$6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B-47D9-88B1-54537F372DAF}"/>
            </c:ext>
          </c:extLst>
        </c:ser>
        <c:ser>
          <c:idx val="0"/>
          <c:order val="1"/>
          <c:tx>
            <c:v>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10306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Hoja1!$K$7:$K$11</c:f>
              <c:numCache>
                <c:formatCode>#,##0.00</c:formatCode>
                <c:ptCount val="5"/>
                <c:pt idx="0" formatCode="General">
                  <c:v>770.92</c:v>
                </c:pt>
                <c:pt idx="1">
                  <c:v>827.32999999999902</c:v>
                </c:pt>
                <c:pt idx="2" formatCode="General">
                  <c:v>664.32999999999902</c:v>
                </c:pt>
                <c:pt idx="3" formatCode="General">
                  <c:v>529.719999999999</c:v>
                </c:pt>
                <c:pt idx="4" formatCode="General">
                  <c:v>705.33</c:v>
                </c:pt>
              </c:numCache>
            </c:numRef>
          </c:xVal>
          <c:yVal>
            <c:numRef>
              <c:f>Hoja1!$J$7:$J$11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0.89326887318705805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B-47D9-88B1-54537F372DAF}"/>
            </c:ext>
          </c:extLst>
        </c:ser>
        <c:ser>
          <c:idx val="1"/>
          <c:order val="2"/>
          <c:tx>
            <c:v>16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640D14"/>
              </a:solidFill>
              <a:ln w="9525">
                <a:solidFill>
                  <a:srgbClr val="640D14"/>
                </a:solidFill>
              </a:ln>
              <a:effectLst/>
            </c:spPr>
          </c:marker>
          <c:xVal>
            <c:numRef>
              <c:f>Hoja1!$K$12:$K$16</c:f>
              <c:numCache>
                <c:formatCode>General</c:formatCode>
                <c:ptCount val="5"/>
                <c:pt idx="0">
                  <c:v>801.25</c:v>
                </c:pt>
                <c:pt idx="1">
                  <c:v>824.86999999999898</c:v>
                </c:pt>
                <c:pt idx="2">
                  <c:v>734.52999999999895</c:v>
                </c:pt>
                <c:pt idx="3">
                  <c:v>548.83999999999901</c:v>
                </c:pt>
                <c:pt idx="4">
                  <c:v>540.70000000000005</c:v>
                </c:pt>
              </c:numCache>
            </c:numRef>
          </c:xVal>
          <c:yVal>
            <c:numRef>
              <c:f>Hoja1!$J$12:$J$16</c:f>
              <c:numCache>
                <c:formatCode>0%</c:formatCode>
                <c:ptCount val="5"/>
                <c:pt idx="0">
                  <c:v>0.76997352437315003</c:v>
                </c:pt>
                <c:pt idx="1">
                  <c:v>0.85921669438983805</c:v>
                </c:pt>
                <c:pt idx="2">
                  <c:v>0.88965915655690297</c:v>
                </c:pt>
                <c:pt idx="3">
                  <c:v>0.75777865301299696</c:v>
                </c:pt>
                <c:pt idx="4">
                  <c:v>0.85392320534223698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B-47D9-88B1-54537F372DAF}"/>
            </c:ext>
          </c:extLst>
        </c:ser>
        <c:ser>
          <c:idx val="2"/>
          <c:order val="3"/>
          <c:tx>
            <c:v>20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3A5743"/>
              </a:solidFill>
              <a:ln w="9525">
                <a:solidFill>
                  <a:srgbClr val="3A5743"/>
                </a:solidFill>
              </a:ln>
              <a:effectLst/>
            </c:spPr>
          </c:marker>
          <c:xVal>
            <c:numRef>
              <c:f>Hoja1!$K$17:$K$21</c:f>
              <c:numCache>
                <c:formatCode>General</c:formatCode>
                <c:ptCount val="5"/>
                <c:pt idx="0">
                  <c:v>592.29999999999905</c:v>
                </c:pt>
                <c:pt idx="1">
                  <c:v>483.54999999999899</c:v>
                </c:pt>
                <c:pt idx="2">
                  <c:v>593.73</c:v>
                </c:pt>
                <c:pt idx="3">
                  <c:v>581.91999999999996</c:v>
                </c:pt>
                <c:pt idx="4">
                  <c:v>538.16999999999996</c:v>
                </c:pt>
              </c:numCache>
            </c:numRef>
          </c:xVal>
          <c:yVal>
            <c:numRef>
              <c:f>Hoja1!$J$17:$J$21</c:f>
              <c:numCache>
                <c:formatCode>0%</c:formatCode>
                <c:ptCount val="5"/>
                <c:pt idx="0">
                  <c:v>0.68743859649122796</c:v>
                </c:pt>
                <c:pt idx="1">
                  <c:v>0.64824120603015001</c:v>
                </c:pt>
                <c:pt idx="2">
                  <c:v>0.83299420879636799</c:v>
                </c:pt>
                <c:pt idx="3">
                  <c:v>0.73298205639418901</c:v>
                </c:pt>
                <c:pt idx="4">
                  <c:v>0.85624509033778395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8B-47D9-88B1-54537F372DAF}"/>
            </c:ext>
          </c:extLst>
        </c:ser>
        <c:ser>
          <c:idx val="3"/>
          <c:order val="4"/>
          <c:tx>
            <c:v>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EC107"/>
              </a:solidFill>
              <a:ln w="9525">
                <a:solidFill>
                  <a:srgbClr val="FEC107"/>
                </a:solidFill>
              </a:ln>
              <a:effectLst/>
            </c:spPr>
          </c:marker>
          <c:xVal>
            <c:numRef>
              <c:f>Hoja1!$K$22:$K$26</c:f>
              <c:numCache>
                <c:formatCode>General</c:formatCode>
                <c:ptCount val="5"/>
                <c:pt idx="0">
                  <c:v>636.28999999999905</c:v>
                </c:pt>
                <c:pt idx="1">
                  <c:v>619.76</c:v>
                </c:pt>
                <c:pt idx="2">
                  <c:v>587.68999999999903</c:v>
                </c:pt>
                <c:pt idx="3">
                  <c:v>570.05999999999995</c:v>
                </c:pt>
                <c:pt idx="4">
                  <c:v>637.04999999999995</c:v>
                </c:pt>
              </c:numCache>
            </c:numRef>
          </c:xVal>
          <c:yVal>
            <c:numRef>
              <c:f>Hoja1!$J$22:$J$26</c:f>
              <c:numCache>
                <c:formatCode>0%</c:formatCode>
                <c:ptCount val="5"/>
                <c:pt idx="0">
                  <c:v>0.73297320199131399</c:v>
                </c:pt>
                <c:pt idx="1">
                  <c:v>0.65759869093884205</c:v>
                </c:pt>
                <c:pt idx="2">
                  <c:v>0.64340821420467398</c:v>
                </c:pt>
                <c:pt idx="3">
                  <c:v>0.56645161290322499</c:v>
                </c:pt>
                <c:pt idx="4">
                  <c:v>0.66279940119760405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B-47D9-88B1-54537F372DAF}"/>
            </c:ext>
          </c:extLst>
        </c:ser>
        <c:ser>
          <c:idx val="4"/>
          <c:order val="5"/>
          <c:tx>
            <c:v>28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BD897E"/>
              </a:solidFill>
              <a:ln w="9525">
                <a:solidFill>
                  <a:srgbClr val="BD897E"/>
                </a:solidFill>
              </a:ln>
              <a:effectLst/>
            </c:spPr>
          </c:marker>
          <c:xVal>
            <c:numRef>
              <c:f>Hoja1!$K$27</c:f>
              <c:numCache>
                <c:formatCode>General</c:formatCode>
                <c:ptCount val="1"/>
                <c:pt idx="0">
                  <c:v>658.43</c:v>
                </c:pt>
              </c:numCache>
            </c:numRef>
          </c:xVal>
          <c:yVal>
            <c:numRef>
              <c:f>Hoja1!$J$26</c:f>
              <c:numCache>
                <c:formatCode>0%</c:formatCode>
                <c:ptCount val="1"/>
                <c:pt idx="0">
                  <c:v>0.66279940119760405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B-47D9-88B1-54537F372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407007"/>
        <c:axId val="2075404127"/>
      </c:scatterChart>
      <c:valAx>
        <c:axId val="2075407007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800" b="1"/>
                  <a:t>Distancia [km]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2075404127"/>
        <c:crosses val="autoZero"/>
        <c:crossBetween val="midCat"/>
      </c:valAx>
      <c:valAx>
        <c:axId val="2075404127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 sz="1800" b="1"/>
                  <a:t>Cobertura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207540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128586</xdr:colOff>
      <xdr:row>11</xdr:row>
      <xdr:rowOff>28575</xdr:rowOff>
    </xdr:from>
    <xdr:to>
      <xdr:col>30</xdr:col>
      <xdr:colOff>657225</xdr:colOff>
      <xdr:row>27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E5DD81-F393-C5F1-9578-DBEA10881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559327</xdr:colOff>
      <xdr:row>36</xdr:row>
      <xdr:rowOff>0</xdr:rowOff>
    </xdr:from>
    <xdr:to>
      <xdr:col>34</xdr:col>
      <xdr:colOff>180975</xdr:colOff>
      <xdr:row>73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BE8326-6796-9BE5-BC17-CA66192CD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A1CC-8BC9-4995-8F93-AC4A5B92A06C}">
  <dimension ref="A1:V45"/>
  <sheetViews>
    <sheetView tabSelected="1" topLeftCell="J1" zoomScaleNormal="100" workbookViewId="0">
      <selection activeCell="T9" sqref="T9"/>
    </sheetView>
  </sheetViews>
  <sheetFormatPr baseColWidth="10" defaultRowHeight="15" x14ac:dyDescent="0.25"/>
  <cols>
    <col min="1" max="1" width="17" bestFit="1" customWidth="1"/>
    <col min="2" max="2" width="17" customWidth="1"/>
    <col min="3" max="3" width="15.85546875" customWidth="1"/>
    <col min="4" max="4" width="17" bestFit="1" customWidth="1"/>
    <col min="5" max="5" width="32.5703125" customWidth="1"/>
    <col min="6" max="6" width="17.7109375" customWidth="1"/>
    <col min="7" max="7" width="22.85546875" bestFit="1" customWidth="1"/>
    <col min="10" max="10" width="15.140625" bestFit="1" customWidth="1"/>
    <col min="11" max="11" width="12.42578125" customWidth="1"/>
    <col min="12" max="12" width="32.5703125" customWidth="1"/>
    <col min="13" max="13" width="13.85546875" bestFit="1" customWidth="1"/>
    <col min="14" max="14" width="20.42578125" bestFit="1" customWidth="1"/>
    <col min="15" max="15" width="18" bestFit="1" customWidth="1"/>
    <col min="17" max="17" width="16.28515625" bestFit="1" customWidth="1"/>
    <col min="19" max="19" width="13.5703125" bestFit="1" customWidth="1"/>
    <col min="21" max="21" width="13.5703125" bestFit="1" customWidth="1"/>
    <col min="22" max="22" width="12.140625" bestFit="1" customWidth="1"/>
  </cols>
  <sheetData>
    <row r="1" spans="1:17" ht="21" customHeight="1" x14ac:dyDescent="0.25">
      <c r="A1" s="1" t="s">
        <v>0</v>
      </c>
      <c r="B1" s="1" t="s">
        <v>38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35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37</v>
      </c>
      <c r="N1" s="1" t="s">
        <v>35</v>
      </c>
      <c r="O1" s="1" t="s">
        <v>9</v>
      </c>
      <c r="P1" s="1" t="s">
        <v>10</v>
      </c>
      <c r="Q1" s="1" t="s">
        <v>11</v>
      </c>
    </row>
    <row r="2" spans="1:17" x14ac:dyDescent="0.25">
      <c r="A2" s="2" t="s">
        <v>64</v>
      </c>
      <c r="B2" s="2">
        <v>8</v>
      </c>
      <c r="C2" s="3">
        <v>1</v>
      </c>
      <c r="D2" s="4">
        <v>485.31</v>
      </c>
      <c r="E2" s="5" t="s">
        <v>34</v>
      </c>
      <c r="F2" s="15">
        <v>19</v>
      </c>
      <c r="G2" s="5">
        <f t="shared" ref="G2:G31" si="0">LEN(E2)-LEN(SUBSTITUTE(E2,"F",""))</f>
        <v>8</v>
      </c>
      <c r="H2" s="2">
        <v>0</v>
      </c>
      <c r="I2" s="6">
        <v>0</v>
      </c>
      <c r="J2" s="9">
        <v>1</v>
      </c>
      <c r="K2" s="2">
        <v>250.96</v>
      </c>
      <c r="L2" s="5" t="s">
        <v>34</v>
      </c>
      <c r="M2" s="15">
        <v>14</v>
      </c>
      <c r="N2" s="5">
        <f t="shared" ref="N2:N31" si="1">LEN(L2)-LEN(SUBSTITUTE(L2,"F",""))</f>
        <v>8</v>
      </c>
      <c r="O2" s="2">
        <v>402</v>
      </c>
      <c r="P2" s="6">
        <v>5.9650999999999899E-2</v>
      </c>
      <c r="Q2" s="4">
        <v>300.585394859313</v>
      </c>
    </row>
    <row r="3" spans="1:17" x14ac:dyDescent="0.25">
      <c r="A3" s="2" t="s">
        <v>65</v>
      </c>
      <c r="B3" s="2">
        <v>8</v>
      </c>
      <c r="C3" s="3">
        <v>1</v>
      </c>
      <c r="D3" s="4">
        <v>503.92999999999898</v>
      </c>
      <c r="E3" s="5" t="s">
        <v>34</v>
      </c>
      <c r="F3" s="15">
        <v>20</v>
      </c>
      <c r="G3" s="5">
        <f t="shared" si="0"/>
        <v>8</v>
      </c>
      <c r="H3" s="2">
        <v>0</v>
      </c>
      <c r="I3" s="6">
        <v>0</v>
      </c>
      <c r="J3" s="9">
        <v>1</v>
      </c>
      <c r="K3" s="2">
        <v>240.39999999999901</v>
      </c>
      <c r="L3" s="5" t="s">
        <v>34</v>
      </c>
      <c r="M3" s="15">
        <v>14</v>
      </c>
      <c r="N3" s="5">
        <f t="shared" si="1"/>
        <v>8</v>
      </c>
      <c r="O3" s="2">
        <v>402</v>
      </c>
      <c r="P3" s="6">
        <v>0.12811999999999901</v>
      </c>
      <c r="Q3" s="4">
        <v>300.640906333923</v>
      </c>
    </row>
    <row r="4" spans="1:17" x14ac:dyDescent="0.25">
      <c r="A4" s="2" t="s">
        <v>66</v>
      </c>
      <c r="B4" s="2">
        <v>8</v>
      </c>
      <c r="C4" s="3">
        <v>1</v>
      </c>
      <c r="D4" s="4">
        <v>736.60999999999899</v>
      </c>
      <c r="E4" s="5" t="s">
        <v>34</v>
      </c>
      <c r="F4" s="15">
        <v>22</v>
      </c>
      <c r="G4" s="5">
        <f t="shared" si="0"/>
        <v>8</v>
      </c>
      <c r="H4" s="2">
        <v>0</v>
      </c>
      <c r="I4" s="6">
        <v>0</v>
      </c>
      <c r="J4" s="9">
        <v>1</v>
      </c>
      <c r="K4" s="2">
        <v>488.13999999999902</v>
      </c>
      <c r="L4" s="5" t="s">
        <v>34</v>
      </c>
      <c r="M4" s="15">
        <v>19</v>
      </c>
      <c r="N4" s="5">
        <f t="shared" si="1"/>
        <v>8</v>
      </c>
      <c r="O4" s="2">
        <v>402</v>
      </c>
      <c r="P4" s="6">
        <v>1.5221E-2</v>
      </c>
      <c r="Q4" s="4">
        <v>301.10298442840502</v>
      </c>
    </row>
    <row r="5" spans="1:17" x14ac:dyDescent="0.25">
      <c r="A5" s="2" t="s">
        <v>67</v>
      </c>
      <c r="B5" s="2">
        <v>8</v>
      </c>
      <c r="C5" s="3">
        <v>1</v>
      </c>
      <c r="D5" s="4">
        <v>942.65</v>
      </c>
      <c r="E5" s="5" t="s">
        <v>34</v>
      </c>
      <c r="F5" s="15">
        <v>22</v>
      </c>
      <c r="G5" s="5">
        <f t="shared" si="0"/>
        <v>8</v>
      </c>
      <c r="H5" s="2">
        <v>0</v>
      </c>
      <c r="I5" s="6">
        <v>0</v>
      </c>
      <c r="J5" s="9">
        <v>1</v>
      </c>
      <c r="K5" s="2">
        <v>508.10999999999899</v>
      </c>
      <c r="L5" s="5" t="s">
        <v>34</v>
      </c>
      <c r="M5" s="15">
        <v>22</v>
      </c>
      <c r="N5" s="5">
        <f t="shared" si="1"/>
        <v>8</v>
      </c>
      <c r="O5" s="2">
        <v>0</v>
      </c>
      <c r="P5" s="6">
        <v>0</v>
      </c>
      <c r="Q5" s="4">
        <v>4.6028535366058296</v>
      </c>
    </row>
    <row r="6" spans="1:17" x14ac:dyDescent="0.25">
      <c r="A6" s="2" t="s">
        <v>68</v>
      </c>
      <c r="B6" s="2">
        <v>8</v>
      </c>
      <c r="C6" s="3">
        <v>1</v>
      </c>
      <c r="D6" s="4">
        <v>679.67</v>
      </c>
      <c r="E6" s="5" t="s">
        <v>34</v>
      </c>
      <c r="F6" s="15">
        <v>21</v>
      </c>
      <c r="G6" s="5">
        <f t="shared" si="0"/>
        <v>8</v>
      </c>
      <c r="H6" s="2">
        <v>0</v>
      </c>
      <c r="I6" s="6">
        <v>0</v>
      </c>
      <c r="J6" s="9">
        <v>1</v>
      </c>
      <c r="K6" s="2">
        <v>328.469999999999</v>
      </c>
      <c r="L6" s="5" t="s">
        <v>34</v>
      </c>
      <c r="M6" s="15">
        <v>14</v>
      </c>
      <c r="N6" s="5">
        <f t="shared" si="1"/>
        <v>8</v>
      </c>
      <c r="O6" s="2">
        <v>402</v>
      </c>
      <c r="P6" s="6">
        <v>7.6353999999999894E-2</v>
      </c>
      <c r="Q6" s="4">
        <v>300.48131775856001</v>
      </c>
    </row>
    <row r="7" spans="1:17" ht="30" x14ac:dyDescent="0.25">
      <c r="A7" s="2" t="s">
        <v>39</v>
      </c>
      <c r="B7" s="2">
        <v>12</v>
      </c>
      <c r="C7" s="3">
        <v>1</v>
      </c>
      <c r="D7" s="4">
        <v>1439.99</v>
      </c>
      <c r="E7" s="5" t="s">
        <v>12</v>
      </c>
      <c r="F7" s="15">
        <v>22</v>
      </c>
      <c r="G7" s="5">
        <f t="shared" si="0"/>
        <v>12</v>
      </c>
      <c r="H7" s="2">
        <v>0</v>
      </c>
      <c r="I7" s="6">
        <v>0</v>
      </c>
      <c r="J7" s="9">
        <v>1</v>
      </c>
      <c r="K7" s="2">
        <v>770.92</v>
      </c>
      <c r="L7" s="5" t="s">
        <v>12</v>
      </c>
      <c r="M7" s="15">
        <v>22</v>
      </c>
      <c r="N7" s="5">
        <f t="shared" si="1"/>
        <v>12</v>
      </c>
      <c r="O7" s="2">
        <v>402</v>
      </c>
      <c r="P7" s="6">
        <v>5.1340999999999998E-2</v>
      </c>
      <c r="Q7" s="4">
        <v>301.51733708381602</v>
      </c>
    </row>
    <row r="8" spans="1:17" ht="30" x14ac:dyDescent="0.25">
      <c r="A8" s="2" t="s">
        <v>40</v>
      </c>
      <c r="B8" s="2">
        <v>12</v>
      </c>
      <c r="C8" s="3">
        <v>1</v>
      </c>
      <c r="D8" s="4">
        <v>1366.34</v>
      </c>
      <c r="E8" s="5" t="s">
        <v>12</v>
      </c>
      <c r="F8" s="15">
        <v>22</v>
      </c>
      <c r="G8" s="5">
        <f t="shared" si="0"/>
        <v>12</v>
      </c>
      <c r="H8" s="2">
        <v>0</v>
      </c>
      <c r="I8" s="6">
        <v>0</v>
      </c>
      <c r="J8" s="9">
        <v>1</v>
      </c>
      <c r="K8" s="14">
        <v>827.32999999999902</v>
      </c>
      <c r="L8" s="5" t="s">
        <v>12</v>
      </c>
      <c r="M8" s="15">
        <v>22</v>
      </c>
      <c r="N8" s="5">
        <f t="shared" si="1"/>
        <v>12</v>
      </c>
      <c r="O8" s="2">
        <v>402</v>
      </c>
      <c r="P8" s="6">
        <v>5.3634000000000001E-2</v>
      </c>
      <c r="Q8" s="4">
        <v>301.73973369598298</v>
      </c>
    </row>
    <row r="9" spans="1:17" ht="30" x14ac:dyDescent="0.25">
      <c r="A9" s="2" t="s">
        <v>41</v>
      </c>
      <c r="B9" s="2">
        <v>12</v>
      </c>
      <c r="C9" s="3">
        <v>0.89326887318705805</v>
      </c>
      <c r="D9" s="4">
        <v>1275.8</v>
      </c>
      <c r="E9" s="5" t="s">
        <v>13</v>
      </c>
      <c r="F9" s="15">
        <v>22</v>
      </c>
      <c r="G9" s="5">
        <f t="shared" si="0"/>
        <v>11</v>
      </c>
      <c r="H9" s="2">
        <v>402</v>
      </c>
      <c r="I9" s="6">
        <v>0.11948399999999899</v>
      </c>
      <c r="J9" s="9">
        <v>0.89326887318705805</v>
      </c>
      <c r="K9" s="2">
        <v>664.32999999999902</v>
      </c>
      <c r="L9" s="5" t="s">
        <v>13</v>
      </c>
      <c r="M9" s="15">
        <v>22</v>
      </c>
      <c r="N9" s="5">
        <f t="shared" si="1"/>
        <v>11</v>
      </c>
      <c r="O9" s="2">
        <v>402</v>
      </c>
      <c r="P9" s="6">
        <v>0.21249999999999999</v>
      </c>
      <c r="Q9" s="4">
        <v>601.07595682144097</v>
      </c>
    </row>
    <row r="10" spans="1:17" ht="30" x14ac:dyDescent="0.25">
      <c r="A10" s="2" t="s">
        <v>42</v>
      </c>
      <c r="B10" s="2">
        <v>12</v>
      </c>
      <c r="C10" s="3">
        <v>1</v>
      </c>
      <c r="D10" s="4">
        <v>891.01</v>
      </c>
      <c r="E10" s="5" t="s">
        <v>12</v>
      </c>
      <c r="F10" s="15">
        <v>22</v>
      </c>
      <c r="G10" s="5">
        <f t="shared" si="0"/>
        <v>12</v>
      </c>
      <c r="H10" s="2">
        <v>0</v>
      </c>
      <c r="I10" s="6">
        <v>0</v>
      </c>
      <c r="J10" s="9">
        <v>1</v>
      </c>
      <c r="K10" s="2">
        <v>529.719999999999</v>
      </c>
      <c r="L10" s="5" t="s">
        <v>12</v>
      </c>
      <c r="M10" s="15">
        <v>21</v>
      </c>
      <c r="N10" s="5">
        <f t="shared" si="1"/>
        <v>12</v>
      </c>
      <c r="O10" s="2">
        <v>402</v>
      </c>
      <c r="P10" s="6">
        <v>9.5899999999999999E-2</v>
      </c>
      <c r="Q10" s="4">
        <v>301.397713661193</v>
      </c>
    </row>
    <row r="11" spans="1:17" ht="30" x14ac:dyDescent="0.25">
      <c r="A11" s="2" t="s">
        <v>43</v>
      </c>
      <c r="B11" s="2">
        <v>12</v>
      </c>
      <c r="C11" s="3">
        <v>1</v>
      </c>
      <c r="D11" s="4">
        <v>1331.53</v>
      </c>
      <c r="E11" s="5" t="s">
        <v>12</v>
      </c>
      <c r="F11" s="15">
        <v>22</v>
      </c>
      <c r="G11" s="5">
        <f t="shared" si="0"/>
        <v>12</v>
      </c>
      <c r="H11" s="2">
        <v>0</v>
      </c>
      <c r="I11" s="6">
        <v>0</v>
      </c>
      <c r="J11" s="9">
        <v>1</v>
      </c>
      <c r="K11" s="2">
        <v>705.33</v>
      </c>
      <c r="L11" s="5" t="s">
        <v>12</v>
      </c>
      <c r="M11" s="15">
        <v>22</v>
      </c>
      <c r="N11" s="5">
        <f t="shared" si="1"/>
        <v>12</v>
      </c>
      <c r="O11" s="2">
        <v>402</v>
      </c>
      <c r="P11" s="6">
        <v>0.128054</v>
      </c>
      <c r="Q11" s="4">
        <v>302.48136520385702</v>
      </c>
    </row>
    <row r="12" spans="1:17" ht="30" x14ac:dyDescent="0.25">
      <c r="A12" s="2" t="s">
        <v>44</v>
      </c>
      <c r="B12" s="2">
        <v>16</v>
      </c>
      <c r="C12" s="3">
        <v>0.76997352437315003</v>
      </c>
      <c r="D12" s="4">
        <v>1324.75</v>
      </c>
      <c r="E12" s="5" t="s">
        <v>14</v>
      </c>
      <c r="F12" s="15">
        <v>22</v>
      </c>
      <c r="G12" s="5">
        <f t="shared" si="0"/>
        <v>12</v>
      </c>
      <c r="H12" s="2">
        <v>402</v>
      </c>
      <c r="I12" s="6">
        <v>0.29874600000000001</v>
      </c>
      <c r="J12" s="9">
        <v>0.76997352437315003</v>
      </c>
      <c r="K12" s="2">
        <v>801.25</v>
      </c>
      <c r="L12" s="5" t="s">
        <v>14</v>
      </c>
      <c r="M12" s="15">
        <v>21</v>
      </c>
      <c r="N12" s="5">
        <f t="shared" si="1"/>
        <v>12</v>
      </c>
      <c r="O12" s="2">
        <v>402</v>
      </c>
      <c r="P12" s="6">
        <v>0.43029000000000001</v>
      </c>
      <c r="Q12" s="4">
        <v>601.45691013336102</v>
      </c>
    </row>
    <row r="13" spans="1:17" ht="30" x14ac:dyDescent="0.25">
      <c r="A13" s="2" t="s">
        <v>45</v>
      </c>
      <c r="B13" s="2">
        <v>16</v>
      </c>
      <c r="C13" s="3">
        <v>0.85921669438983805</v>
      </c>
      <c r="D13" s="4">
        <v>1432.93</v>
      </c>
      <c r="E13" s="5" t="s">
        <v>15</v>
      </c>
      <c r="F13" s="15">
        <v>22</v>
      </c>
      <c r="G13" s="5">
        <f t="shared" si="0"/>
        <v>13</v>
      </c>
      <c r="H13" s="2">
        <v>402</v>
      </c>
      <c r="I13" s="6">
        <v>0.163851</v>
      </c>
      <c r="J13" s="9">
        <v>0.85921669438983805</v>
      </c>
      <c r="K13" s="2">
        <v>824.86999999999898</v>
      </c>
      <c r="L13" s="5" t="s">
        <v>15</v>
      </c>
      <c r="M13" s="15">
        <v>22</v>
      </c>
      <c r="N13" s="5">
        <f t="shared" si="1"/>
        <v>13</v>
      </c>
      <c r="O13" s="2">
        <v>402</v>
      </c>
      <c r="P13" s="6">
        <v>0.34769099999999997</v>
      </c>
      <c r="Q13" s="4">
        <v>601.40779399871803</v>
      </c>
    </row>
    <row r="14" spans="1:17" ht="30" x14ac:dyDescent="0.25">
      <c r="A14" s="2" t="s">
        <v>46</v>
      </c>
      <c r="B14" s="2">
        <v>16</v>
      </c>
      <c r="C14" s="3">
        <v>0.88965915655690297</v>
      </c>
      <c r="D14" s="4">
        <v>1220.4000000000001</v>
      </c>
      <c r="E14" s="5" t="s">
        <v>16</v>
      </c>
      <c r="F14" s="15">
        <v>22</v>
      </c>
      <c r="G14" s="5">
        <f t="shared" si="0"/>
        <v>14</v>
      </c>
      <c r="H14" s="2">
        <v>402</v>
      </c>
      <c r="I14" s="6">
        <v>0.124026</v>
      </c>
      <c r="J14" s="9">
        <v>0.88965915655690297</v>
      </c>
      <c r="K14" s="2">
        <v>734.52999999999895</v>
      </c>
      <c r="L14" s="5" t="s">
        <v>16</v>
      </c>
      <c r="M14" s="15">
        <v>20</v>
      </c>
      <c r="N14" s="5">
        <f t="shared" si="1"/>
        <v>14</v>
      </c>
      <c r="O14" s="2">
        <v>402</v>
      </c>
      <c r="P14" s="6">
        <v>0.46654299999999999</v>
      </c>
      <c r="Q14" s="4">
        <v>601.20592403411797</v>
      </c>
    </row>
    <row r="15" spans="1:17" ht="30" x14ac:dyDescent="0.25">
      <c r="A15" s="2" t="s">
        <v>47</v>
      </c>
      <c r="B15" s="2">
        <v>16</v>
      </c>
      <c r="C15" s="3">
        <v>0.75777865301299696</v>
      </c>
      <c r="D15" s="4">
        <v>915.82</v>
      </c>
      <c r="E15" s="5" t="s">
        <v>17</v>
      </c>
      <c r="F15" s="15">
        <v>22</v>
      </c>
      <c r="G15" s="5">
        <f t="shared" si="0"/>
        <v>12</v>
      </c>
      <c r="H15" s="2">
        <v>402</v>
      </c>
      <c r="I15" s="6">
        <v>0.31964700000000001</v>
      </c>
      <c r="J15" s="9">
        <v>0.75777865301299696</v>
      </c>
      <c r="K15" s="2">
        <v>548.83999999999901</v>
      </c>
      <c r="L15" s="5" t="s">
        <v>17</v>
      </c>
      <c r="M15" s="15">
        <v>22</v>
      </c>
      <c r="N15" s="5">
        <f t="shared" si="1"/>
        <v>12</v>
      </c>
      <c r="O15" s="2">
        <v>402</v>
      </c>
      <c r="P15" s="6">
        <v>0.32360999999999901</v>
      </c>
      <c r="Q15" s="4">
        <v>601.24094223976101</v>
      </c>
    </row>
    <row r="16" spans="1:17" ht="30" x14ac:dyDescent="0.25">
      <c r="A16" s="2" t="s">
        <v>48</v>
      </c>
      <c r="B16" s="2">
        <v>16</v>
      </c>
      <c r="C16" s="3">
        <v>0.85392320534223698</v>
      </c>
      <c r="D16" s="4">
        <v>1009.59</v>
      </c>
      <c r="E16" s="5" t="s">
        <v>18</v>
      </c>
      <c r="F16" s="15">
        <v>22</v>
      </c>
      <c r="G16" s="5">
        <f t="shared" si="0"/>
        <v>14</v>
      </c>
      <c r="H16" s="2">
        <v>402</v>
      </c>
      <c r="I16" s="6">
        <v>0.17106499999999999</v>
      </c>
      <c r="J16" s="9">
        <v>0.85392320534223698</v>
      </c>
      <c r="K16" s="2">
        <v>540.70000000000005</v>
      </c>
      <c r="L16" s="5" t="s">
        <v>18</v>
      </c>
      <c r="M16" s="15">
        <v>20</v>
      </c>
      <c r="N16" s="5">
        <f t="shared" si="1"/>
        <v>14</v>
      </c>
      <c r="O16" s="2">
        <v>402</v>
      </c>
      <c r="P16" s="6">
        <v>0.35716700000000001</v>
      </c>
      <c r="Q16" s="4">
        <v>601.22161555290199</v>
      </c>
    </row>
    <row r="17" spans="1:22" ht="30" x14ac:dyDescent="0.25">
      <c r="A17" s="2" t="s">
        <v>49</v>
      </c>
      <c r="B17" s="2">
        <v>20</v>
      </c>
      <c r="C17" s="3">
        <v>0.68743859649122796</v>
      </c>
      <c r="D17" s="4">
        <v>1117.49</v>
      </c>
      <c r="E17" s="5" t="s">
        <v>19</v>
      </c>
      <c r="F17" s="15">
        <v>22</v>
      </c>
      <c r="G17" s="5">
        <f t="shared" si="0"/>
        <v>14</v>
      </c>
      <c r="H17" s="2">
        <v>402</v>
      </c>
      <c r="I17" s="6">
        <v>0.454675</v>
      </c>
      <c r="J17" s="9">
        <v>0.68743859649122796</v>
      </c>
      <c r="K17" s="2">
        <v>592.29999999999905</v>
      </c>
      <c r="L17" s="5" t="s">
        <v>19</v>
      </c>
      <c r="M17" s="15">
        <v>22</v>
      </c>
      <c r="N17" s="5">
        <f t="shared" si="1"/>
        <v>14</v>
      </c>
      <c r="O17" s="2">
        <v>402</v>
      </c>
      <c r="P17" s="6">
        <v>0.48890800000000001</v>
      </c>
      <c r="Q17" s="4">
        <v>601.33695459365799</v>
      </c>
    </row>
    <row r="18" spans="1:22" ht="30" x14ac:dyDescent="0.25">
      <c r="A18" s="2" t="s">
        <v>50</v>
      </c>
      <c r="B18" s="2">
        <v>20</v>
      </c>
      <c r="C18" s="3">
        <v>0.64824120603015001</v>
      </c>
      <c r="D18" s="4">
        <v>949.74</v>
      </c>
      <c r="E18" s="5" t="s">
        <v>20</v>
      </c>
      <c r="F18" s="15">
        <v>22</v>
      </c>
      <c r="G18" s="5">
        <f t="shared" si="0"/>
        <v>13</v>
      </c>
      <c r="H18" s="2">
        <v>402</v>
      </c>
      <c r="I18" s="6">
        <v>0.54263600000000001</v>
      </c>
      <c r="J18" s="9">
        <v>0.64824120603015001</v>
      </c>
      <c r="K18" s="2">
        <v>483.54999999999899</v>
      </c>
      <c r="L18" s="5" t="s">
        <v>20</v>
      </c>
      <c r="M18" s="15">
        <v>19</v>
      </c>
      <c r="N18" s="5">
        <f t="shared" si="1"/>
        <v>13</v>
      </c>
      <c r="O18" s="2">
        <v>402</v>
      </c>
      <c r="P18" s="6">
        <v>0.42479599999999901</v>
      </c>
      <c r="Q18" s="4">
        <v>601.51681923866204</v>
      </c>
    </row>
    <row r="19" spans="1:22" ht="34.5" customHeight="1" x14ac:dyDescent="0.25">
      <c r="A19" s="2" t="s">
        <v>51</v>
      </c>
      <c r="B19" s="2">
        <v>20</v>
      </c>
      <c r="C19" s="3">
        <v>0.83299420879636799</v>
      </c>
      <c r="D19" s="4">
        <v>1081.25</v>
      </c>
      <c r="E19" s="5" t="s">
        <v>21</v>
      </c>
      <c r="F19" s="15">
        <v>22</v>
      </c>
      <c r="G19" s="5">
        <f t="shared" si="0"/>
        <v>17</v>
      </c>
      <c r="H19" s="2">
        <v>402</v>
      </c>
      <c r="I19" s="6">
        <v>0.200489</v>
      </c>
      <c r="J19" s="9">
        <v>0.83299420879636799</v>
      </c>
      <c r="K19" s="2">
        <v>593.73</v>
      </c>
      <c r="L19" s="5" t="s">
        <v>21</v>
      </c>
      <c r="M19" s="15">
        <v>20</v>
      </c>
      <c r="N19" s="5">
        <f t="shared" si="1"/>
        <v>17</v>
      </c>
      <c r="O19" s="2">
        <v>402</v>
      </c>
      <c r="P19" s="6">
        <v>0.41081000000000001</v>
      </c>
      <c r="Q19" s="4">
        <v>601.58984947204499</v>
      </c>
    </row>
    <row r="20" spans="1:22" ht="30" x14ac:dyDescent="0.25">
      <c r="A20" s="2" t="s">
        <v>52</v>
      </c>
      <c r="B20" s="2">
        <v>20</v>
      </c>
      <c r="C20" s="3">
        <v>0.73298205639418901</v>
      </c>
      <c r="D20" s="4">
        <v>1073.57</v>
      </c>
      <c r="E20" s="5" t="s">
        <v>22</v>
      </c>
      <c r="F20" s="15">
        <v>22</v>
      </c>
      <c r="G20" s="5">
        <f t="shared" si="0"/>
        <v>14</v>
      </c>
      <c r="H20" s="2">
        <v>402</v>
      </c>
      <c r="I20" s="6">
        <v>0.36429</v>
      </c>
      <c r="J20" s="9">
        <v>0.73298205639418901</v>
      </c>
      <c r="K20" s="2">
        <v>581.91999999999996</v>
      </c>
      <c r="L20" s="5" t="s">
        <v>22</v>
      </c>
      <c r="M20" s="15">
        <v>21</v>
      </c>
      <c r="N20" s="5">
        <f t="shared" si="1"/>
        <v>14</v>
      </c>
      <c r="O20" s="2">
        <v>402</v>
      </c>
      <c r="P20" s="6">
        <v>0.36178500000000002</v>
      </c>
      <c r="Q20" s="4">
        <v>601.56740379333496</v>
      </c>
    </row>
    <row r="21" spans="1:22" ht="30" x14ac:dyDescent="0.25">
      <c r="A21" s="2" t="s">
        <v>53</v>
      </c>
      <c r="B21" s="2">
        <v>20</v>
      </c>
      <c r="C21" s="3">
        <v>0.85624509033778395</v>
      </c>
      <c r="D21" s="4">
        <v>1121.9000000000001</v>
      </c>
      <c r="E21" s="5" t="s">
        <v>23</v>
      </c>
      <c r="F21" s="15">
        <v>22</v>
      </c>
      <c r="G21" s="5">
        <f t="shared" si="0"/>
        <v>16</v>
      </c>
      <c r="H21" s="2">
        <v>402</v>
      </c>
      <c r="I21" s="6">
        <v>0.16789000000000001</v>
      </c>
      <c r="J21" s="9">
        <v>0.85624509033778395</v>
      </c>
      <c r="K21" s="2">
        <v>538.16999999999996</v>
      </c>
      <c r="L21" s="5" t="s">
        <v>23</v>
      </c>
      <c r="M21" s="15">
        <v>19</v>
      </c>
      <c r="N21" s="5">
        <f t="shared" si="1"/>
        <v>16</v>
      </c>
      <c r="O21" s="2">
        <v>402</v>
      </c>
      <c r="P21" s="6">
        <v>0.37740899999999999</v>
      </c>
      <c r="Q21" s="4">
        <v>601.41305184364296</v>
      </c>
    </row>
    <row r="22" spans="1:22" ht="30" x14ac:dyDescent="0.25">
      <c r="A22" s="2" t="s">
        <v>54</v>
      </c>
      <c r="B22" s="2">
        <v>24</v>
      </c>
      <c r="C22" s="3">
        <v>0.73297320199131399</v>
      </c>
      <c r="D22" s="4">
        <v>1319.39</v>
      </c>
      <c r="E22" s="5" t="s">
        <v>24</v>
      </c>
      <c r="F22" s="15">
        <v>22</v>
      </c>
      <c r="G22" s="5">
        <f t="shared" si="0"/>
        <v>17</v>
      </c>
      <c r="H22" s="2">
        <v>402</v>
      </c>
      <c r="I22" s="6">
        <v>0.36430599999999902</v>
      </c>
      <c r="J22" s="9">
        <v>0.73297320199131399</v>
      </c>
      <c r="K22" s="2">
        <v>636.28999999999905</v>
      </c>
      <c r="L22" s="5" t="s">
        <v>24</v>
      </c>
      <c r="M22" s="15">
        <v>21</v>
      </c>
      <c r="N22" s="5">
        <f t="shared" si="1"/>
        <v>17</v>
      </c>
      <c r="O22" s="2">
        <v>402</v>
      </c>
      <c r="P22" s="6">
        <v>0.38781100000000002</v>
      </c>
      <c r="Q22" s="4">
        <v>601.51013565063397</v>
      </c>
    </row>
    <row r="23" spans="1:22" ht="30" x14ac:dyDescent="0.25">
      <c r="A23" s="2" t="s">
        <v>55</v>
      </c>
      <c r="B23" s="2">
        <v>24</v>
      </c>
      <c r="C23" s="3">
        <v>0.65759869093884205</v>
      </c>
      <c r="D23" s="4">
        <v>1284.5999999999999</v>
      </c>
      <c r="E23" s="5" t="s">
        <v>25</v>
      </c>
      <c r="F23" s="15">
        <v>22</v>
      </c>
      <c r="G23" s="5">
        <f t="shared" si="0"/>
        <v>16</v>
      </c>
      <c r="H23" s="2">
        <v>402</v>
      </c>
      <c r="I23" s="6">
        <v>0.52068399999999904</v>
      </c>
      <c r="J23" s="9">
        <v>0.65759869093884205</v>
      </c>
      <c r="K23" s="2">
        <v>619.76</v>
      </c>
      <c r="L23" s="5" t="s">
        <v>25</v>
      </c>
      <c r="M23" s="15">
        <v>22</v>
      </c>
      <c r="N23" s="5">
        <f t="shared" si="1"/>
        <v>16</v>
      </c>
      <c r="O23" s="2">
        <v>402</v>
      </c>
      <c r="P23" s="6">
        <v>0.48451</v>
      </c>
      <c r="Q23" s="4">
        <v>601.57414627075195</v>
      </c>
    </row>
    <row r="24" spans="1:22" ht="30" x14ac:dyDescent="0.25">
      <c r="A24" s="2" t="s">
        <v>56</v>
      </c>
      <c r="B24" s="2">
        <v>24</v>
      </c>
      <c r="C24" s="3">
        <v>0.64340821420467398</v>
      </c>
      <c r="D24" s="4">
        <v>1194.03</v>
      </c>
      <c r="E24" s="5" t="s">
        <v>26</v>
      </c>
      <c r="F24" s="15">
        <v>22</v>
      </c>
      <c r="G24" s="5">
        <f t="shared" si="0"/>
        <v>16</v>
      </c>
      <c r="H24" s="2">
        <v>402</v>
      </c>
      <c r="I24" s="6">
        <v>0.55422300000000002</v>
      </c>
      <c r="J24" s="9">
        <v>0.64340821420467398</v>
      </c>
      <c r="K24" s="2">
        <v>587.68999999999903</v>
      </c>
      <c r="L24" s="5" t="s">
        <v>26</v>
      </c>
      <c r="M24" s="15">
        <v>21</v>
      </c>
      <c r="N24" s="5">
        <f t="shared" si="1"/>
        <v>16</v>
      </c>
      <c r="O24" s="2">
        <v>402</v>
      </c>
      <c r="P24" s="6">
        <v>0.50186299999999995</v>
      </c>
      <c r="Q24" s="4">
        <v>601.42112994193997</v>
      </c>
    </row>
    <row r="25" spans="1:22" ht="30" x14ac:dyDescent="0.25">
      <c r="A25" s="2" t="s">
        <v>57</v>
      </c>
      <c r="B25" s="2">
        <v>24</v>
      </c>
      <c r="C25" s="3">
        <v>0.56645161290322499</v>
      </c>
      <c r="D25" s="4">
        <v>1258.95</v>
      </c>
      <c r="E25" s="5" t="s">
        <v>27</v>
      </c>
      <c r="F25" s="15">
        <v>22</v>
      </c>
      <c r="G25" s="5">
        <f t="shared" si="0"/>
        <v>14</v>
      </c>
      <c r="H25" s="2">
        <v>402</v>
      </c>
      <c r="I25" s="6">
        <v>0.76537599999999995</v>
      </c>
      <c r="J25" s="9">
        <v>0.56645161290322499</v>
      </c>
      <c r="K25" s="2">
        <v>570.05999999999995</v>
      </c>
      <c r="L25" s="5" t="s">
        <v>27</v>
      </c>
      <c r="M25" s="15">
        <v>19</v>
      </c>
      <c r="N25" s="5">
        <f t="shared" si="1"/>
        <v>14</v>
      </c>
      <c r="O25" s="2">
        <v>402</v>
      </c>
      <c r="P25" s="6">
        <v>0.58367499999999894</v>
      </c>
      <c r="Q25" s="4">
        <v>601.354103088378</v>
      </c>
    </row>
    <row r="26" spans="1:22" ht="30" x14ac:dyDescent="0.25">
      <c r="A26" s="2" t="s">
        <v>58</v>
      </c>
      <c r="B26" s="2">
        <v>24</v>
      </c>
      <c r="C26" s="3">
        <v>0.66279940119760405</v>
      </c>
      <c r="D26" s="4">
        <v>1261.04</v>
      </c>
      <c r="E26" s="5" t="s">
        <v>28</v>
      </c>
      <c r="F26" s="15">
        <v>22</v>
      </c>
      <c r="G26" s="5">
        <f t="shared" si="0"/>
        <v>16</v>
      </c>
      <c r="H26" s="2">
        <v>402</v>
      </c>
      <c r="I26" s="6">
        <v>0.50875199999999998</v>
      </c>
      <c r="J26" s="9">
        <v>0.66279940119760405</v>
      </c>
      <c r="K26" s="2">
        <v>637.04999999999995</v>
      </c>
      <c r="L26" s="5" t="s">
        <v>28</v>
      </c>
      <c r="M26" s="15">
        <v>22</v>
      </c>
      <c r="N26" s="5">
        <f t="shared" si="1"/>
        <v>16</v>
      </c>
      <c r="O26" s="2">
        <v>402</v>
      </c>
      <c r="P26" s="6">
        <v>0.53352200000000005</v>
      </c>
      <c r="Q26" s="4">
        <v>602.12155365943897</v>
      </c>
    </row>
    <row r="27" spans="1:22" ht="45" x14ac:dyDescent="0.25">
      <c r="A27" s="2" t="s">
        <v>59</v>
      </c>
      <c r="B27" s="2">
        <v>28</v>
      </c>
      <c r="C27" s="3">
        <v>0.62072856221792305</v>
      </c>
      <c r="D27" s="4">
        <v>1437.43</v>
      </c>
      <c r="E27" s="5" t="s">
        <v>29</v>
      </c>
      <c r="F27" s="15">
        <v>22</v>
      </c>
      <c r="G27" s="5">
        <f t="shared" si="0"/>
        <v>18</v>
      </c>
      <c r="H27" s="2">
        <v>402</v>
      </c>
      <c r="I27" s="6">
        <v>0.61100999999999905</v>
      </c>
      <c r="J27" s="9">
        <v>0.62072856221792305</v>
      </c>
      <c r="K27" s="2">
        <v>658.43</v>
      </c>
      <c r="L27" s="5" t="s">
        <v>29</v>
      </c>
      <c r="M27" s="15">
        <v>20</v>
      </c>
      <c r="N27" s="5">
        <f t="shared" si="1"/>
        <v>18</v>
      </c>
      <c r="O27" s="2">
        <v>402</v>
      </c>
      <c r="P27" s="6">
        <v>0.556809</v>
      </c>
      <c r="Q27" s="4">
        <v>601.48271155357304</v>
      </c>
      <c r="S27" s="10"/>
      <c r="U27" s="11"/>
    </row>
    <row r="28" spans="1:22" ht="45" x14ac:dyDescent="0.25">
      <c r="A28" s="2" t="s">
        <v>60</v>
      </c>
      <c r="B28" s="2">
        <v>28</v>
      </c>
      <c r="C28" s="3">
        <v>0.68897932065443002</v>
      </c>
      <c r="D28" s="4">
        <v>1735.23</v>
      </c>
      <c r="E28" s="5" t="s">
        <v>30</v>
      </c>
      <c r="F28" s="15">
        <v>22</v>
      </c>
      <c r="G28" s="5">
        <f t="shared" si="0"/>
        <v>20</v>
      </c>
      <c r="H28" s="2">
        <v>402</v>
      </c>
      <c r="I28" s="6">
        <v>0.45142199999999999</v>
      </c>
      <c r="J28" s="9">
        <v>0.68897932065443002</v>
      </c>
      <c r="K28" s="2">
        <v>841.3</v>
      </c>
      <c r="L28" s="5" t="s">
        <v>30</v>
      </c>
      <c r="M28" s="15">
        <v>22</v>
      </c>
      <c r="N28" s="5">
        <f t="shared" si="1"/>
        <v>20</v>
      </c>
      <c r="O28" s="2">
        <v>402</v>
      </c>
      <c r="P28" s="6">
        <v>0.55968099999999998</v>
      </c>
      <c r="Q28" s="4">
        <v>602.66981482505798</v>
      </c>
      <c r="U28" s="11"/>
    </row>
    <row r="29" spans="1:22" ht="45" x14ac:dyDescent="0.25">
      <c r="A29" s="2" t="s">
        <v>61</v>
      </c>
      <c r="B29" s="2">
        <v>28</v>
      </c>
      <c r="C29" s="3">
        <v>0.62661019940003504</v>
      </c>
      <c r="D29" s="4">
        <v>1533.15</v>
      </c>
      <c r="E29" s="5" t="s">
        <v>31</v>
      </c>
      <c r="F29" s="15">
        <v>22</v>
      </c>
      <c r="G29" s="5">
        <f t="shared" si="0"/>
        <v>18</v>
      </c>
      <c r="H29" s="2">
        <v>402</v>
      </c>
      <c r="I29" s="6">
        <v>0.59588799999999997</v>
      </c>
      <c r="J29" s="9">
        <v>0.62661019940003504</v>
      </c>
      <c r="K29" s="2">
        <v>602.58999999999901</v>
      </c>
      <c r="L29" s="5" t="s">
        <v>31</v>
      </c>
      <c r="M29" s="15">
        <v>21</v>
      </c>
      <c r="N29" s="5">
        <f t="shared" si="1"/>
        <v>18</v>
      </c>
      <c r="O29" s="2">
        <v>402</v>
      </c>
      <c r="P29" s="6">
        <v>0.55906999999999996</v>
      </c>
      <c r="Q29" s="4">
        <v>601.45170879364002</v>
      </c>
    </row>
    <row r="30" spans="1:22" ht="45" x14ac:dyDescent="0.25">
      <c r="A30" s="2" t="s">
        <v>62</v>
      </c>
      <c r="B30" s="2">
        <v>28</v>
      </c>
      <c r="C30" s="3">
        <v>0.76149312377210199</v>
      </c>
      <c r="D30" s="4">
        <v>1637.36</v>
      </c>
      <c r="E30" s="5" t="s">
        <v>32</v>
      </c>
      <c r="F30" s="15">
        <v>22</v>
      </c>
      <c r="G30" s="5">
        <f t="shared" si="0"/>
        <v>20</v>
      </c>
      <c r="H30" s="2">
        <v>402</v>
      </c>
      <c r="I30" s="6">
        <v>0.31320900000000002</v>
      </c>
      <c r="J30" s="9">
        <v>0.76149312377210199</v>
      </c>
      <c r="K30" s="2">
        <v>800.81999999999903</v>
      </c>
      <c r="L30" s="5" t="s">
        <v>32</v>
      </c>
      <c r="M30" s="15">
        <v>20</v>
      </c>
      <c r="N30" s="5">
        <f t="shared" si="1"/>
        <v>20</v>
      </c>
      <c r="O30" s="2">
        <v>402</v>
      </c>
      <c r="P30" s="6">
        <v>0.50690500000000005</v>
      </c>
      <c r="Q30" s="4">
        <v>601.57398271560601</v>
      </c>
      <c r="U30" s="12"/>
      <c r="V30" s="11"/>
    </row>
    <row r="31" spans="1:22" ht="45" x14ac:dyDescent="0.25">
      <c r="A31" s="2" t="s">
        <v>63</v>
      </c>
      <c r="B31" s="2">
        <v>28</v>
      </c>
      <c r="C31" s="3">
        <v>0.61353788499824302</v>
      </c>
      <c r="D31" s="4">
        <v>1643.59</v>
      </c>
      <c r="E31" s="5" t="s">
        <v>33</v>
      </c>
      <c r="F31" s="15">
        <v>22</v>
      </c>
      <c r="G31" s="5">
        <f t="shared" si="0"/>
        <v>17</v>
      </c>
      <c r="H31" s="2">
        <v>402</v>
      </c>
      <c r="I31" s="6">
        <v>0.62989099999999998</v>
      </c>
      <c r="J31" s="9">
        <v>0.61353788499824302</v>
      </c>
      <c r="K31" s="2">
        <v>810.03999999999905</v>
      </c>
      <c r="L31" s="5" t="s">
        <v>33</v>
      </c>
      <c r="M31" s="15">
        <v>22</v>
      </c>
      <c r="N31" s="5">
        <f t="shared" si="1"/>
        <v>17</v>
      </c>
      <c r="O31" s="2">
        <v>402</v>
      </c>
      <c r="P31" s="6">
        <v>0.59714299999999998</v>
      </c>
      <c r="Q31" s="4">
        <v>601.58078145980801</v>
      </c>
      <c r="S31" s="12"/>
      <c r="T31" s="13"/>
      <c r="U31" s="11"/>
      <c r="V31" s="8"/>
    </row>
    <row r="32" spans="1:22" x14ac:dyDescent="0.25">
      <c r="J32" s="7"/>
    </row>
    <row r="39" spans="1:11" x14ac:dyDescent="0.25">
      <c r="A39" t="s">
        <v>73</v>
      </c>
      <c r="B39" t="s">
        <v>69</v>
      </c>
      <c r="C39" t="s">
        <v>71</v>
      </c>
      <c r="D39" t="s">
        <v>72</v>
      </c>
      <c r="E39" t="s">
        <v>74</v>
      </c>
      <c r="F39" t="s">
        <v>70</v>
      </c>
      <c r="G39" t="s">
        <v>77</v>
      </c>
      <c r="H39" t="s">
        <v>75</v>
      </c>
      <c r="I39" t="s">
        <v>76</v>
      </c>
      <c r="J39" t="s">
        <v>78</v>
      </c>
      <c r="K39" t="s">
        <v>79</v>
      </c>
    </row>
    <row r="40" spans="1:11" x14ac:dyDescent="0.25">
      <c r="A40">
        <v>8</v>
      </c>
      <c r="B40" s="17">
        <f>AVERAGEIFS($J$2:$J$31,$B$2:$B$31,A40)</f>
        <v>1</v>
      </c>
      <c r="C40" s="16">
        <f>AVERAGEIFS($D$2:$D$31,$B$2:$B$31,$A40)</f>
        <v>669.63399999999967</v>
      </c>
      <c r="D40" s="16">
        <f>AVERAGEIFS($K$2:$K$31,$B$2:$B$31,$A40)</f>
        <v>363.21599999999916</v>
      </c>
      <c r="E40" s="17">
        <f>(C40-D40)/C40</f>
        <v>0.45759026572724903</v>
      </c>
      <c r="F40" s="16">
        <f>AVERAGEIFS($Q$2:$Q$31,$B$2:$B$31,$A40)</f>
        <v>241.48269138336136</v>
      </c>
      <c r="G40" s="18">
        <f>ROUNDDOWN(AVERAGEIFS($G$2:$G$31,$B$2:$B$31,$A40),0)</f>
        <v>8</v>
      </c>
      <c r="H40" s="19">
        <f>C40/$G40</f>
        <v>83.704249999999959</v>
      </c>
      <c r="I40" s="19">
        <f>D40/$G40</f>
        <v>45.401999999999894</v>
      </c>
      <c r="J40" s="7">
        <f>C40/$B40</f>
        <v>669.63399999999967</v>
      </c>
      <c r="K40" s="7">
        <f>D40/$B40</f>
        <v>363.21599999999916</v>
      </c>
    </row>
    <row r="41" spans="1:11" x14ac:dyDescent="0.25">
      <c r="A41">
        <v>12</v>
      </c>
      <c r="B41" s="17">
        <f t="shared" ref="B41:B45" si="2">AVERAGEIFS($J$2:$J$31,$B$2:$B$31,A41)</f>
        <v>0.97865377463741154</v>
      </c>
      <c r="C41" s="16">
        <f t="shared" ref="C41:C45" si="3">AVERAGEIFS($D$2:$D$31,$B$2:$B$31,$A41)</f>
        <v>1260.934</v>
      </c>
      <c r="D41" s="16">
        <f t="shared" ref="D41:D45" si="4">AVERAGEIFS($K$2:$K$31,$B$2:$B$31,$A41)</f>
        <v>699.52599999999939</v>
      </c>
      <c r="E41" s="17">
        <f t="shared" ref="E41:E45" si="5">(C41-D41)/C41</f>
        <v>0.44523186780592844</v>
      </c>
      <c r="F41" s="16">
        <f t="shared" ref="F41:F45" si="6">AVERAGEIFS($Q$2:$Q$31,$B$2:$B$31,$A41)</f>
        <v>361.642421293258</v>
      </c>
      <c r="G41" s="18">
        <f t="shared" ref="G41:G45" si="7">ROUNDDOWN(AVERAGEIFS($G$2:$G$31,$B$2:$B$31,$A41),0)</f>
        <v>11</v>
      </c>
      <c r="H41" s="19">
        <f t="shared" ref="H41:I45" si="8">C41/$G41</f>
        <v>114.63036363636364</v>
      </c>
      <c r="I41" s="19">
        <f t="shared" si="8"/>
        <v>63.593272727272669</v>
      </c>
      <c r="J41" s="7">
        <f t="shared" ref="J41:J45" si="9">C41/$B41</f>
        <v>1288.437272381821</v>
      </c>
      <c r="K41" s="7">
        <f t="shared" ref="K41:K45" si="10">D41/$B41</f>
        <v>714.78393904848713</v>
      </c>
    </row>
    <row r="42" spans="1:11" x14ac:dyDescent="0.25">
      <c r="A42">
        <v>16</v>
      </c>
      <c r="B42" s="17">
        <f t="shared" si="2"/>
        <v>0.82611024673502498</v>
      </c>
      <c r="C42" s="16">
        <f t="shared" si="3"/>
        <v>1180.6980000000001</v>
      </c>
      <c r="D42" s="16">
        <f t="shared" si="4"/>
        <v>690.03799999999933</v>
      </c>
      <c r="E42" s="17">
        <f t="shared" si="5"/>
        <v>0.41556774043828371</v>
      </c>
      <c r="F42" s="16">
        <f t="shared" si="6"/>
        <v>601.3066371917721</v>
      </c>
      <c r="G42" s="18">
        <f t="shared" si="7"/>
        <v>13</v>
      </c>
      <c r="H42" s="19">
        <f t="shared" si="8"/>
        <v>90.82292307692309</v>
      </c>
      <c r="I42" s="19">
        <f t="shared" si="8"/>
        <v>53.079846153846105</v>
      </c>
      <c r="J42" s="7">
        <f t="shared" si="9"/>
        <v>1429.2257052450159</v>
      </c>
      <c r="K42" s="7">
        <f t="shared" si="10"/>
        <v>835.28560834003201</v>
      </c>
    </row>
    <row r="43" spans="1:11" x14ac:dyDescent="0.25">
      <c r="A43">
        <v>20</v>
      </c>
      <c r="B43" s="17">
        <f t="shared" si="2"/>
        <v>0.75158023160994381</v>
      </c>
      <c r="C43" s="16">
        <f t="shared" si="3"/>
        <v>1068.7900000000002</v>
      </c>
      <c r="D43" s="16">
        <f t="shared" si="4"/>
        <v>557.93399999999963</v>
      </c>
      <c r="E43" s="17">
        <f t="shared" si="5"/>
        <v>0.47797602896733732</v>
      </c>
      <c r="F43" s="16">
        <f t="shared" si="6"/>
        <v>601.48481578826863</v>
      </c>
      <c r="G43" s="18">
        <f t="shared" si="7"/>
        <v>14</v>
      </c>
      <c r="H43" s="19">
        <f t="shared" si="8"/>
        <v>76.342142857142875</v>
      </c>
      <c r="I43" s="19">
        <f t="shared" si="8"/>
        <v>39.852428571428547</v>
      </c>
      <c r="J43" s="7">
        <f t="shared" si="9"/>
        <v>1422.0570939054214</v>
      </c>
      <c r="K43" s="7">
        <f t="shared" si="10"/>
        <v>742.34789119567608</v>
      </c>
    </row>
    <row r="44" spans="1:11" x14ac:dyDescent="0.25">
      <c r="A44">
        <v>24</v>
      </c>
      <c r="B44" s="17">
        <f t="shared" si="2"/>
        <v>0.65264622424713181</v>
      </c>
      <c r="C44" s="16">
        <f t="shared" si="3"/>
        <v>1263.6019999999999</v>
      </c>
      <c r="D44" s="16">
        <f t="shared" si="4"/>
        <v>610.1699999999995</v>
      </c>
      <c r="E44" s="17">
        <f t="shared" si="5"/>
        <v>0.51711852307926109</v>
      </c>
      <c r="F44" s="16">
        <f t="shared" si="6"/>
        <v>601.59621372222853</v>
      </c>
      <c r="G44" s="18">
        <f t="shared" si="7"/>
        <v>15</v>
      </c>
      <c r="H44" s="19">
        <f t="shared" si="8"/>
        <v>84.240133333333318</v>
      </c>
      <c r="I44" s="19">
        <f t="shared" si="8"/>
        <v>40.677999999999969</v>
      </c>
      <c r="J44" s="7">
        <f t="shared" si="9"/>
        <v>1936.1209075523936</v>
      </c>
      <c r="K44" s="7">
        <f t="shared" si="10"/>
        <v>934.91692333602134</v>
      </c>
    </row>
    <row r="45" spans="1:11" x14ac:dyDescent="0.25">
      <c r="A45">
        <v>28</v>
      </c>
      <c r="B45" s="17">
        <f t="shared" si="2"/>
        <v>0.66226981820854669</v>
      </c>
      <c r="C45" s="16">
        <f t="shared" si="3"/>
        <v>1597.3519999999999</v>
      </c>
      <c r="D45" s="16">
        <f t="shared" si="4"/>
        <v>742.63599999999929</v>
      </c>
      <c r="E45" s="17">
        <f t="shared" si="5"/>
        <v>0.53508306246838555</v>
      </c>
      <c r="F45" s="16">
        <f t="shared" si="6"/>
        <v>601.75179986953708</v>
      </c>
      <c r="G45" s="18">
        <f t="shared" si="7"/>
        <v>18</v>
      </c>
      <c r="H45" s="19">
        <f t="shared" si="8"/>
        <v>88.74177777777777</v>
      </c>
      <c r="I45" s="19">
        <f t="shared" si="8"/>
        <v>41.257555555555513</v>
      </c>
      <c r="J45" s="7">
        <f t="shared" si="9"/>
        <v>2411.9353714787567</v>
      </c>
      <c r="K45" s="7">
        <f t="shared" si="10"/>
        <v>1121.3496064320805</v>
      </c>
    </row>
  </sheetData>
  <sortState xmlns:xlrd2="http://schemas.microsoft.com/office/spreadsheetml/2017/richdata2" ref="A2:Q31">
    <sortCondition ref="A7:A3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502B-88D4-46C5-AFD8-4DFFD28B1C97}">
  <dimension ref="A1:C31"/>
  <sheetViews>
    <sheetView workbookViewId="0"/>
  </sheetViews>
  <sheetFormatPr baseColWidth="10" defaultRowHeight="15" x14ac:dyDescent="0.25"/>
  <cols>
    <col min="1" max="1" width="15.42578125" bestFit="1" customWidth="1"/>
    <col min="2" max="2" width="15.140625" bestFit="1" customWidth="1"/>
    <col min="3" max="3" width="17" bestFit="1" customWidth="1"/>
  </cols>
  <sheetData>
    <row r="1" spans="1:3" x14ac:dyDescent="0.25">
      <c r="A1" s="1" t="s">
        <v>38</v>
      </c>
      <c r="B1" s="1" t="s">
        <v>6</v>
      </c>
      <c r="C1" s="1" t="s">
        <v>7</v>
      </c>
    </row>
    <row r="2" spans="1:3" x14ac:dyDescent="0.25">
      <c r="A2" s="2">
        <v>8</v>
      </c>
      <c r="B2" s="9">
        <v>1</v>
      </c>
      <c r="C2" s="2">
        <v>250.96</v>
      </c>
    </row>
    <row r="3" spans="1:3" x14ac:dyDescent="0.25">
      <c r="A3" s="2">
        <v>8</v>
      </c>
      <c r="B3" s="9">
        <v>1</v>
      </c>
      <c r="C3" s="2">
        <v>240.39999999999901</v>
      </c>
    </row>
    <row r="4" spans="1:3" x14ac:dyDescent="0.25">
      <c r="A4" s="2">
        <v>8</v>
      </c>
      <c r="B4" s="9">
        <v>1</v>
      </c>
      <c r="C4" s="2">
        <v>488.13999999999902</v>
      </c>
    </row>
    <row r="5" spans="1:3" x14ac:dyDescent="0.25">
      <c r="A5" s="2">
        <v>8</v>
      </c>
      <c r="B5" s="9">
        <v>1</v>
      </c>
      <c r="C5" s="2">
        <v>508.10999999999899</v>
      </c>
    </row>
    <row r="6" spans="1:3" x14ac:dyDescent="0.25">
      <c r="A6" s="2">
        <v>8</v>
      </c>
      <c r="B6" s="9">
        <v>1</v>
      </c>
      <c r="C6" s="2">
        <v>328.469999999999</v>
      </c>
    </row>
    <row r="7" spans="1:3" x14ac:dyDescent="0.25">
      <c r="A7" s="2">
        <v>12</v>
      </c>
      <c r="B7" s="9">
        <v>1</v>
      </c>
      <c r="C7" s="2">
        <v>770.92</v>
      </c>
    </row>
    <row r="8" spans="1:3" x14ac:dyDescent="0.25">
      <c r="A8" s="2">
        <v>12</v>
      </c>
      <c r="B8" s="9">
        <v>1</v>
      </c>
      <c r="C8" s="14">
        <v>827.32999999999902</v>
      </c>
    </row>
    <row r="9" spans="1:3" x14ac:dyDescent="0.25">
      <c r="A9" s="2">
        <v>12</v>
      </c>
      <c r="B9" s="9">
        <v>0.89326887318705805</v>
      </c>
      <c r="C9" s="2">
        <v>664.32999999999902</v>
      </c>
    </row>
    <row r="10" spans="1:3" x14ac:dyDescent="0.25">
      <c r="A10" s="2">
        <v>12</v>
      </c>
      <c r="B10" s="9">
        <v>1</v>
      </c>
      <c r="C10" s="2">
        <v>529.719999999999</v>
      </c>
    </row>
    <row r="11" spans="1:3" x14ac:dyDescent="0.25">
      <c r="A11" s="2">
        <v>12</v>
      </c>
      <c r="B11" s="9">
        <v>1</v>
      </c>
      <c r="C11" s="2">
        <v>705.33</v>
      </c>
    </row>
    <row r="12" spans="1:3" x14ac:dyDescent="0.25">
      <c r="A12" s="2">
        <v>16</v>
      </c>
      <c r="B12" s="9">
        <v>0.76997352437315003</v>
      </c>
      <c r="C12" s="2">
        <v>801.25</v>
      </c>
    </row>
    <row r="13" spans="1:3" x14ac:dyDescent="0.25">
      <c r="A13" s="2">
        <v>16</v>
      </c>
      <c r="B13" s="9">
        <v>0.85921669438983805</v>
      </c>
      <c r="C13" s="2">
        <v>824.86999999999898</v>
      </c>
    </row>
    <row r="14" spans="1:3" x14ac:dyDescent="0.25">
      <c r="A14" s="2">
        <v>16</v>
      </c>
      <c r="B14" s="9">
        <v>0.88965915655690297</v>
      </c>
      <c r="C14" s="2">
        <v>734.52999999999895</v>
      </c>
    </row>
    <row r="15" spans="1:3" x14ac:dyDescent="0.25">
      <c r="A15" s="2">
        <v>16</v>
      </c>
      <c r="B15" s="9">
        <v>0.75777865301299696</v>
      </c>
      <c r="C15" s="2">
        <v>548.83999999999901</v>
      </c>
    </row>
    <row r="16" spans="1:3" x14ac:dyDescent="0.25">
      <c r="A16" s="2">
        <v>16</v>
      </c>
      <c r="B16" s="9">
        <v>0.85392320534223698</v>
      </c>
      <c r="C16" s="2">
        <v>540.70000000000005</v>
      </c>
    </row>
    <row r="17" spans="1:3" x14ac:dyDescent="0.25">
      <c r="A17" s="2">
        <v>20</v>
      </c>
      <c r="B17" s="9">
        <v>0.68743859649122796</v>
      </c>
      <c r="C17" s="2">
        <v>592.29999999999905</v>
      </c>
    </row>
    <row r="18" spans="1:3" x14ac:dyDescent="0.25">
      <c r="A18" s="2">
        <v>20</v>
      </c>
      <c r="B18" s="9">
        <v>0.64824120603015001</v>
      </c>
      <c r="C18" s="2">
        <v>483.54999999999899</v>
      </c>
    </row>
    <row r="19" spans="1:3" x14ac:dyDescent="0.25">
      <c r="A19" s="2">
        <v>20</v>
      </c>
      <c r="B19" s="9">
        <v>0.83299420879636799</v>
      </c>
      <c r="C19" s="2">
        <v>593.73</v>
      </c>
    </row>
    <row r="20" spans="1:3" x14ac:dyDescent="0.25">
      <c r="A20" s="2">
        <v>20</v>
      </c>
      <c r="B20" s="9">
        <v>0.73298205639418901</v>
      </c>
      <c r="C20" s="2">
        <v>581.91999999999996</v>
      </c>
    </row>
    <row r="21" spans="1:3" x14ac:dyDescent="0.25">
      <c r="A21" s="2">
        <v>20</v>
      </c>
      <c r="B21" s="9">
        <v>0.85624509033778395</v>
      </c>
      <c r="C21" s="2">
        <v>538.16999999999996</v>
      </c>
    </row>
    <row r="22" spans="1:3" x14ac:dyDescent="0.25">
      <c r="A22" s="2">
        <v>24</v>
      </c>
      <c r="B22" s="9">
        <v>0.73297320199131399</v>
      </c>
      <c r="C22" s="2">
        <v>636.28999999999905</v>
      </c>
    </row>
    <row r="23" spans="1:3" x14ac:dyDescent="0.25">
      <c r="A23" s="2">
        <v>24</v>
      </c>
      <c r="B23" s="9">
        <v>0.65759869093884205</v>
      </c>
      <c r="C23" s="2">
        <v>619.76</v>
      </c>
    </row>
    <row r="24" spans="1:3" x14ac:dyDescent="0.25">
      <c r="A24" s="2">
        <v>24</v>
      </c>
      <c r="B24" s="9">
        <v>0.64340821420467398</v>
      </c>
      <c r="C24" s="2">
        <v>587.68999999999903</v>
      </c>
    </row>
    <row r="25" spans="1:3" x14ac:dyDescent="0.25">
      <c r="A25" s="2">
        <v>24</v>
      </c>
      <c r="B25" s="9">
        <v>0.56645161290322499</v>
      </c>
      <c r="C25" s="2">
        <v>570.05999999999995</v>
      </c>
    </row>
    <row r="26" spans="1:3" x14ac:dyDescent="0.25">
      <c r="A26" s="2">
        <v>24</v>
      </c>
      <c r="B26" s="9">
        <v>0.66279940119760405</v>
      </c>
      <c r="C26" s="2">
        <v>637.04999999999995</v>
      </c>
    </row>
    <row r="27" spans="1:3" x14ac:dyDescent="0.25">
      <c r="A27" s="2">
        <v>28</v>
      </c>
      <c r="B27" s="9">
        <v>0.62072856221792305</v>
      </c>
      <c r="C27" s="2">
        <v>658.43</v>
      </c>
    </row>
    <row r="28" spans="1:3" x14ac:dyDescent="0.25">
      <c r="A28" s="2">
        <v>28</v>
      </c>
      <c r="B28" s="9">
        <v>0.68897932065443002</v>
      </c>
      <c r="C28" s="2">
        <v>841.3</v>
      </c>
    </row>
    <row r="29" spans="1:3" x14ac:dyDescent="0.25">
      <c r="A29" s="2">
        <v>28</v>
      </c>
      <c r="B29" s="9">
        <v>0.62661019940003504</v>
      </c>
      <c r="C29" s="2">
        <v>602.58999999999901</v>
      </c>
    </row>
    <row r="30" spans="1:3" x14ac:dyDescent="0.25">
      <c r="A30" s="2">
        <v>28</v>
      </c>
      <c r="B30" s="9">
        <v>0.76149312377210199</v>
      </c>
      <c r="C30" s="2">
        <v>800.81999999999903</v>
      </c>
    </row>
    <row r="31" spans="1:3" x14ac:dyDescent="0.25">
      <c r="A31" s="2">
        <v>28</v>
      </c>
      <c r="B31" s="9">
        <v>0.61353788499824302</v>
      </c>
      <c r="C31" s="2">
        <v>810.03999999999905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Guerrero</dc:creator>
  <cp:lastModifiedBy>Juan Pablo Guerrero</cp:lastModifiedBy>
  <cp:lastPrinted>2026-05-07T21:48:03Z</cp:lastPrinted>
  <dcterms:created xsi:type="dcterms:W3CDTF">2026-03-19T12:18:30Z</dcterms:created>
  <dcterms:modified xsi:type="dcterms:W3CDTF">2026-05-15T20:49:57Z</dcterms:modified>
</cp:coreProperties>
</file>